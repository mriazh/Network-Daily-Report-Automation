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6" sheetId="7" state="visible" r:id="rId7"/>
    <sheet xmlns:r="http://schemas.openxmlformats.org/officeDocument/2006/relationships" name="07" sheetId="8" state="visible" r:id="rId8"/>
    <sheet xmlns:r="http://schemas.openxmlformats.org/officeDocument/2006/relationships" name="08" sheetId="9" state="visible" r:id="rId9"/>
    <sheet xmlns:r="http://schemas.openxmlformats.org/officeDocument/2006/relationships" name="0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  <sheet xmlns:r="http://schemas.openxmlformats.org/officeDocument/2006/relationships" name="16" sheetId="17" state="visible" r:id="rId17"/>
    <sheet xmlns:r="http://schemas.openxmlformats.org/officeDocument/2006/relationships" name="17" sheetId="18" state="visible" r:id="rId18"/>
    <sheet xmlns:r="http://schemas.openxmlformats.org/officeDocument/2006/relationships" name="18" sheetId="19" state="visible" r:id="rId19"/>
    <sheet xmlns:r="http://schemas.openxmlformats.org/officeDocument/2006/relationships" name="19" sheetId="20" state="visible" r:id="rId20"/>
    <sheet xmlns:r="http://schemas.openxmlformats.org/officeDocument/2006/relationships" name="20" sheetId="21" state="visible" r:id="rId21"/>
    <sheet xmlns:r="http://schemas.openxmlformats.org/officeDocument/2006/relationships" name="21" sheetId="22" state="visible" r:id="rId22"/>
    <sheet xmlns:r="http://schemas.openxmlformats.org/officeDocument/2006/relationships" name="22" sheetId="23" state="visible" r:id="rId23"/>
    <sheet xmlns:r="http://schemas.openxmlformats.org/officeDocument/2006/relationships" name="23" sheetId="24" state="visible" r:id="rId24"/>
    <sheet xmlns:r="http://schemas.openxmlformats.org/officeDocument/2006/relationships" name="24" sheetId="25" state="visible" r:id="rId25"/>
    <sheet xmlns:r="http://schemas.openxmlformats.org/officeDocument/2006/relationships" name="25" sheetId="26" state="visible" r:id="rId26"/>
    <sheet xmlns:r="http://schemas.openxmlformats.org/officeDocument/2006/relationships" name="26" sheetId="27" state="visible" r:id="rId27"/>
    <sheet xmlns:r="http://schemas.openxmlformats.org/officeDocument/2006/relationships" name="27" sheetId="28" state="visible" r:id="rId28"/>
    <sheet xmlns:r="http://schemas.openxmlformats.org/officeDocument/2006/relationships" name="28" sheetId="29" state="visible" r:id="rId29"/>
    <sheet xmlns:r="http://schemas.openxmlformats.org/officeDocument/2006/relationships" name="29" sheetId="30" state="visible" r:id="rId30"/>
    <sheet xmlns:r="http://schemas.openxmlformats.org/officeDocument/2006/relationships" name="30" sheetId="31" state="visible" r:id="rId31"/>
    <sheet xmlns:r="http://schemas.openxmlformats.org/officeDocument/2006/relationships" name="31" sheetId="32" state="visible" r:id="rId32"/>
  </sheets>
  <definedNames>
    <definedName name="_xlnm.Print_Titles" localSheetId="0">'Master'!$1:$5</definedName>
    <definedName name="_xlnm.Print_Titles" localSheetId="1">'01'!$1:$5</definedName>
    <definedName name="_xlnm.Print_Titles" localSheetId="2">'02'!$1:$5</definedName>
    <definedName name="_xlnm.Print_Titles" localSheetId="3">'03'!$1:$5</definedName>
    <definedName name="_xlnm.Print_Titles" localSheetId="4">'04'!$1:$5</definedName>
    <definedName name="_xlnm.Print_Titles" localSheetId="5">'05'!$1:$5</definedName>
    <definedName name="_xlnm.Print_Titles" localSheetId="6">'06'!$1:$5</definedName>
    <definedName name="_xlnm.Print_Titles" localSheetId="7">'07'!$1:$5</definedName>
    <definedName name="_xlnm.Print_Titles" localSheetId="8">'08'!$1:$5</definedName>
    <definedName name="_xlnm.Print_Titles" localSheetId="9">'09'!$1:$5</definedName>
    <definedName name="_xlnm.Print_Titles" localSheetId="10">'10'!$1:$5</definedName>
    <definedName name="_xlnm.Print_Titles" localSheetId="11">'11'!$1:$5</definedName>
    <definedName name="_xlnm.Print_Titles" localSheetId="12">'12'!$1:$5</definedName>
    <definedName name="_xlnm.Print_Titles" localSheetId="13">'13'!$1:$5</definedName>
    <definedName name="_xlnm.Print_Titles" localSheetId="14">'14'!$1:$5</definedName>
    <definedName name="_xlnm.Print_Titles" localSheetId="15">'15'!$1:$5</definedName>
    <definedName name="_xlnm.Print_Titles" localSheetId="16">'16'!$1:$5</definedName>
    <definedName name="_xlnm.Print_Titles" localSheetId="17">'17'!$1:$5</definedName>
    <definedName name="_xlnm.Print_Titles" localSheetId="18">'18'!$1:$5</definedName>
    <definedName name="_xlnm.Print_Titles" localSheetId="19">'19'!$1:$5</definedName>
    <definedName name="_xlnm.Print_Titles" localSheetId="20">'20'!$1:$5</definedName>
    <definedName name="_xlnm.Print_Titles" localSheetId="21">'21'!$1:$5</definedName>
    <definedName name="_xlnm.Print_Titles" localSheetId="22">'22'!$1:$5</definedName>
    <definedName name="_xlnm.Print_Titles" localSheetId="23">'23'!$1:$5</definedName>
    <definedName name="_xlnm.Print_Titles" localSheetId="24">'24'!$1:$5</definedName>
    <definedName name="_xlnm.Print_Titles" localSheetId="25">'25'!$1:$5</definedName>
    <definedName name="_xlnm.Print_Titles" localSheetId="26">'26'!$1:$5</definedName>
    <definedName name="_xlnm.Print_Titles" localSheetId="27">'27'!$1:$5</definedName>
    <definedName name="_xlnm.Print_Titles" localSheetId="28">'28'!$1:$5</definedName>
    <definedName name="_xlnm.Print_Titles" localSheetId="29">'29'!$1:$5</definedName>
    <definedName name="_xlnm.Print_Titles" localSheetId="30">'30'!$1:$5</definedName>
    <definedName name="_xlnm.Print_Titles" localSheetId="31">'31'!$1:$5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365D"/>
      <sz val="10"/>
    </font>
    <font>
      <name val="Calibri"/>
      <color rgb="FF1F2933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55724"/>
      <sz val="10"/>
    </font>
    <font>
      <name val="Calibri"/>
      <i val="1"/>
      <color rgb="FF52606D"/>
      <sz val="9"/>
    </font>
    <font>
      <name val="Calibri"/>
      <b val="1"/>
      <color rgb="FF856404"/>
      <sz val="10"/>
    </font>
    <font>
      <name val="Calibri"/>
      <b val="1"/>
      <color rgb="FF721C24"/>
      <sz val="10"/>
    </font>
  </fonts>
  <fills count="1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BF2F7"/>
        <bgColor rgb="FFEBF2F7"/>
      </patternFill>
    </fill>
    <fill>
      <patternFill patternType="solid">
        <fgColor rgb="FF2C4D75"/>
        <bgColor rgb="FF2C4D75"/>
      </patternFill>
    </fill>
    <fill>
      <patternFill patternType="solid">
        <fgColor rgb="FFF0F4F8"/>
        <bgColor rgb="FFF0F4F8"/>
      </patternFill>
    </fill>
    <fill>
      <patternFill patternType="solid">
        <fgColor rgb="FF4A6984"/>
        <bgColor rgb="FF4A6984"/>
      </patternFill>
    </fill>
    <fill>
      <patternFill patternType="solid">
        <fgColor rgb="FFD4EDDA"/>
        <bgColor rgb="FFD4EDDA"/>
      </patternFill>
    </fill>
    <fill>
      <patternFill patternType="solid">
        <fgColor rgb="FFF8FAFC"/>
        <bgColor rgb="FFF8FAFC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1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bottom style="thin">
        <color rgb="FF4A6984"/>
      </bottom>
    </border>
    <border>
      <left style="thin">
        <color rgb="FFD0D7DE"/>
      </left>
      <right style="thin">
        <color rgb="FFD0D7DE"/>
      </right>
      <top style="double">
        <color rgb="FF2C4D75"/>
      </top>
      <bottom style="double">
        <color rgb="FF2C4D75"/>
      </bottom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/>
      <top style="double">
        <color rgb="FF2C4D75"/>
      </top>
      <bottom/>
      <diagonal/>
    </border>
    <border>
      <left/>
      <right style="thin">
        <color rgb="FFD0D7DE"/>
      </right>
      <top style="double">
        <color rgb="FF2C4D75"/>
      </top>
      <bottom/>
      <diagonal/>
    </border>
    <border>
      <left/>
      <right style="thin">
        <color rgb="FFD0D7DE"/>
      </right>
      <top style="double">
        <color rgb="FF2C4D75"/>
      </top>
      <bottom style="double">
        <color rgb="FF2C4D75"/>
      </bottom>
      <diagonal/>
    </border>
    <border>
      <left/>
      <right/>
      <top/>
      <bottom style="thin">
        <color rgb="FF4A6984"/>
      </bottom>
      <diagonal/>
    </border>
    <border>
      <left/>
      <right/>
      <top style="double">
        <color rgb="FF2C4D75"/>
      </top>
      <bottom style="double">
        <color rgb="FF2C4D75"/>
      </bottom>
      <diagonal/>
    </border>
    <border>
      <right/>
      <bottom style="thin">
        <color rgb="FF4A698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164" fontId="2" fillId="5" borderId="3" applyAlignment="1" pivotButton="0" quotePrefix="0" xfId="0">
      <alignment horizontal="right" vertical="center"/>
    </xf>
    <xf numFmtId="0" fontId="0" fillId="5" borderId="3" pivotButton="0" quotePrefix="0" xfId="0"/>
    <xf numFmtId="0" fontId="2" fillId="5" borderId="3" applyAlignment="1" pivotButton="0" quotePrefix="0" xfId="0">
      <alignment horizontal="right" vertical="center"/>
    </xf>
    <xf numFmtId="4" fontId="2" fillId="5" borderId="3" applyAlignment="1" pivotButton="0" quotePrefix="0" xfId="0">
      <alignment horizontal="right" vertical="center"/>
    </xf>
    <xf numFmtId="0" fontId="0" fillId="7" borderId="1" pivotButton="0" quotePrefix="0" xfId="0"/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2" fillId="5" borderId="1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65D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________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01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02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03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04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05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06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07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08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09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10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11 Oktober 2026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12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13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14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15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16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17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18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19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20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21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22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23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24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25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26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27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28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29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30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FF2C4D75"/>
    <outlinePr summaryBelow="1" summaryRight="1"/>
    <pageSetUpPr fitToPage="1"/>
  </sheetPr>
  <dimension ref="A1:H18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44" customWidth="1" min="1" max="1"/>
    <col width="35.44" customWidth="1" min="2" max="2"/>
    <col width="29.44" customWidth="1" min="3" max="3"/>
    <col width="23" customWidth="1" min="4" max="4"/>
    <col width="23.29" customWidth="1" min="5" max="5"/>
    <col width="41.44" customWidth="1" min="6" max="6"/>
    <col width="18.44" customWidth="1" min="7" max="7"/>
    <col width="18.44" customWidth="1" min="8" max="8"/>
  </cols>
  <sheetData>
    <row r="1"/>
    <row r="2"/>
    <row r="3" ht="30" customHeight="1">
      <c r="A3" s="1" t="inlineStr">
        <is>
          <t>NETWORK INFRASTRUCTURE – DAILY SERVICE, CONNECTIVITY &amp; PERFORMANCE MONITORING REPORT</t>
        </is>
      </c>
    </row>
    <row r="4">
      <c r="A4" s="3" t="inlineStr">
        <is>
          <t>Date / Period</t>
        </is>
      </c>
      <c r="B4" s="37" t="n"/>
      <c r="C4" s="5" t="inlineStr">
        <is>
          <t>31 / ________ / ________</t>
        </is>
      </c>
      <c r="D4" s="37" t="n"/>
    </row>
    <row r="5" ht="18" customHeight="1">
      <c r="A5" s="3" t="inlineStr">
        <is>
          <t>PIC Network Support</t>
        </is>
      </c>
      <c r="B5" s="37" t="n"/>
      <c r="C5" s="7" t="inlineStr">
        <is>
          <t>1. Staff Engineer 1| 2. Staff Engineer 2| 3. Staff Engineer 3| 4. Staff Engineer 4| 5. Staff Engineer 5</t>
        </is>
      </c>
      <c r="D5" s="38" t="n"/>
      <c r="E5" s="38" t="n"/>
      <c r="F5" s="38" t="n"/>
      <c r="G5" s="38" t="n"/>
      <c r="H5" s="37" t="n"/>
    </row>
    <row r="6"/>
    <row r="7" ht="22" customHeight="1">
      <c r="A7" s="8" t="inlineStr">
        <is>
          <t>A. 🌐 Telkomsel IoT-Sensors M2M</t>
        </is>
      </c>
    </row>
    <row r="8" ht="18" customHeight="1">
      <c r="A8" s="42" t="inlineStr">
        <is>
          <t>1. Staff Engineer 1</t>
        </is>
      </c>
      <c r="B8" s="39" t="n"/>
      <c r="C8" s="39" t="n"/>
      <c r="D8" s="39" t="n"/>
      <c r="E8" s="39" t="n"/>
      <c r="F8" s="39" t="n"/>
      <c r="G8" s="39" t="n"/>
      <c r="H8" s="39" t="n"/>
    </row>
    <row r="9" ht="24" customHeight="1">
      <c r="A9" s="12" t="inlineStr">
        <is>
          <t>No</t>
        </is>
      </c>
      <c r="B9" s="12" t="inlineStr">
        <is>
          <t>Parameter</t>
        </is>
      </c>
      <c r="C9" s="37" t="n"/>
      <c r="D9" s="12" t="inlineStr">
        <is>
          <t>Value</t>
        </is>
      </c>
      <c r="E9" s="12" t="inlineStr">
        <is>
          <t>Status</t>
        </is>
      </c>
      <c r="F9" s="12" t="inlineStr">
        <is>
          <t>Remarks</t>
        </is>
      </c>
      <c r="G9" s="38" t="n"/>
      <c r="H9" s="37" t="n"/>
    </row>
    <row r="10">
      <c r="A10" s="5" t="n">
        <v>1</v>
      </c>
      <c r="B10" s="7" t="inlineStr">
        <is>
          <t>Status Service</t>
        </is>
      </c>
      <c r="C10" s="37" t="n"/>
      <c r="D10" s="14" t="n"/>
      <c r="E10" s="15" t="inlineStr">
        <is>
          <t>Normal</t>
        </is>
      </c>
      <c r="F10" s="7" t="n"/>
      <c r="G10" s="38" t="n"/>
      <c r="H10" s="37" t="n"/>
    </row>
    <row r="11">
      <c r="A11" s="16" t="n">
        <v>2</v>
      </c>
      <c r="B11" s="17" t="inlineStr">
        <is>
          <t>Total Daily Usage</t>
        </is>
      </c>
      <c r="C11" s="37" t="n"/>
      <c r="D11" s="19" t="n"/>
      <c r="E11" s="16" t="n"/>
      <c r="F11" s="17" t="n"/>
      <c r="G11" s="38" t="n"/>
      <c r="H11" s="37" t="n"/>
    </row>
    <row r="12">
      <c r="A12" s="5" t="n">
        <v>3</v>
      </c>
      <c r="B12" s="7" t="inlineStr">
        <is>
          <t>Active Session</t>
        </is>
      </c>
      <c r="C12" s="37" t="n"/>
      <c r="D12" s="14" t="n"/>
      <c r="E12" s="5" t="n"/>
      <c r="F12" s="7" t="n"/>
      <c r="G12" s="38" t="n"/>
      <c r="H12" s="37" t="n"/>
    </row>
    <row r="13" ht="16" customHeight="1">
      <c r="A13" s="20" t="inlineStr">
        <is>
          <t>Usage values (GB) are taken from the Telkomsel IoT-Sensors M2M portal; Status is filled with Normal / Fault / Maintenance.</t>
        </is>
      </c>
      <c r="B13" s="38" t="n"/>
      <c r="C13" s="38" t="n"/>
      <c r="D13" s="38" t="n"/>
      <c r="E13" s="38" t="n"/>
      <c r="F13" s="38" t="n"/>
      <c r="G13" s="38" t="n"/>
      <c r="H13" s="37" t="n"/>
    </row>
    <row r="14" ht="18" customHeight="1">
      <c r="A14" s="42" t="inlineStr">
        <is>
          <t>2. Staff Engineer 2(Top 5)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>
      <c r="A15" s="12" t="inlineStr">
        <is>
          <t>Rank</t>
        </is>
      </c>
      <c r="B15" s="12" t="inlineStr">
        <is>
          <t>Site</t>
        </is>
      </c>
      <c r="C15" s="37" t="n"/>
      <c r="D15" s="12" t="inlineStr">
        <is>
          <t>Usage (GB)</t>
        </is>
      </c>
      <c r="E15" s="12" t="inlineStr">
        <is>
          <t>Period</t>
        </is>
      </c>
      <c r="F15" s="12" t="inlineStr">
        <is>
          <t>Remarks</t>
        </is>
      </c>
      <c r="G15" s="38" t="n"/>
      <c r="H15" s="37" t="n"/>
    </row>
    <row r="16">
      <c r="A16" s="5" t="n">
        <v>1</v>
      </c>
      <c r="B16" s="7" t="n"/>
      <c r="C16" s="37" t="n"/>
      <c r="D16" s="21" t="n"/>
      <c r="E16" s="5" t="n"/>
      <c r="F16" s="7" t="n"/>
      <c r="G16" s="38" t="n"/>
      <c r="H16" s="37" t="n"/>
    </row>
    <row r="17">
      <c r="A17" s="16" t="n">
        <v>2</v>
      </c>
      <c r="B17" s="17" t="n"/>
      <c r="C17" s="37" t="n"/>
      <c r="D17" s="22" t="n"/>
      <c r="E17" s="16" t="n"/>
      <c r="F17" s="17" t="n"/>
      <c r="G17" s="38" t="n"/>
      <c r="H17" s="37" t="n"/>
    </row>
    <row r="18">
      <c r="A18" s="5" t="n">
        <v>3</v>
      </c>
      <c r="B18" s="7" t="n"/>
      <c r="C18" s="37" t="n"/>
      <c r="D18" s="21" t="n"/>
      <c r="E18" s="5" t="n"/>
      <c r="F18" s="7" t="n"/>
      <c r="G18" s="38" t="n"/>
      <c r="H18" s="37" t="n"/>
    </row>
    <row r="19">
      <c r="A19" s="16" t="n">
        <v>4</v>
      </c>
      <c r="B19" s="17" t="n"/>
      <c r="C19" s="37" t="n"/>
      <c r="D19" s="22" t="n"/>
      <c r="E19" s="16" t="n"/>
      <c r="F19" s="17" t="n"/>
      <c r="G19" s="38" t="n"/>
      <c r="H19" s="37" t="n"/>
    </row>
    <row r="20">
      <c r="A20" s="5" t="n">
        <v>5</v>
      </c>
      <c r="B20" s="7" t="n"/>
      <c r="C20" s="37" t="n"/>
      <c r="D20" s="21" t="n"/>
      <c r="E20" s="5" t="n"/>
      <c r="F20" s="7" t="n"/>
      <c r="G20" s="38" t="n"/>
      <c r="H20" s="37" t="n"/>
    </row>
    <row r="21" ht="18" customHeight="1">
      <c r="A21" s="42" t="inlineStr">
        <is>
          <t>3. Staff Engineer 3- Periodic Monitoring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4" customHeight="1">
      <c r="A22" s="12" t="inlineStr">
        <is>
          <t>Rank</t>
        </is>
      </c>
      <c r="B22" s="12" t="inlineStr">
        <is>
          <t>Site</t>
        </is>
      </c>
      <c r="C22" s="37" t="n"/>
      <c r="D22" s="12" t="inlineStr">
        <is>
          <t>Usage (GB)</t>
        </is>
      </c>
      <c r="E22" s="12" t="inlineStr">
        <is>
          <t>Monitoring Period</t>
        </is>
      </c>
      <c r="F22" s="12" t="inlineStr">
        <is>
          <t>Remarks</t>
        </is>
      </c>
      <c r="G22" s="38" t="n"/>
      <c r="H22" s="37" t="n"/>
    </row>
    <row r="23">
      <c r="A23" s="5" t="n">
        <v>1</v>
      </c>
      <c r="B23" s="7" t="n"/>
      <c r="C23" s="37" t="n"/>
      <c r="D23" s="21" t="n"/>
      <c r="E23" s="5" t="n"/>
      <c r="F23" s="7" t="n"/>
      <c r="G23" s="38" t="n"/>
      <c r="H23" s="37" t="n"/>
    </row>
    <row r="24">
      <c r="A24" s="16" t="n">
        <v>2</v>
      </c>
      <c r="B24" s="17" t="n"/>
      <c r="C24" s="37" t="n"/>
      <c r="D24" s="22" t="n"/>
      <c r="E24" s="16" t="n"/>
      <c r="F24" s="17" t="n"/>
      <c r="G24" s="38" t="n"/>
      <c r="H24" s="37" t="n"/>
    </row>
    <row r="25">
      <c r="A25" s="5" t="n">
        <v>3</v>
      </c>
      <c r="B25" s="7" t="n"/>
      <c r="C25" s="37" t="n"/>
      <c r="D25" s="21" t="n"/>
      <c r="E25" s="5" t="n"/>
      <c r="F25" s="7" t="n"/>
      <c r="G25" s="38" t="n"/>
      <c r="H25" s="37" t="n"/>
    </row>
    <row r="26">
      <c r="A26" s="16" t="n">
        <v>4</v>
      </c>
      <c r="B26" s="17" t="n"/>
      <c r="C26" s="37" t="n"/>
      <c r="D26" s="22" t="n"/>
      <c r="E26" s="16" t="n"/>
      <c r="F26" s="17" t="n"/>
      <c r="G26" s="38" t="n"/>
      <c r="H26" s="37" t="n"/>
    </row>
    <row r="27">
      <c r="A27" s="5" t="n">
        <v>5</v>
      </c>
      <c r="B27" s="7" t="n"/>
      <c r="C27" s="37" t="n"/>
      <c r="D27" s="21" t="n"/>
      <c r="E27" s="5" t="n"/>
      <c r="F27" s="7" t="n"/>
      <c r="G27" s="38" t="n"/>
      <c r="H27" s="37" t="n"/>
    </row>
    <row r="28"/>
    <row r="29" ht="22" customHeight="1">
      <c r="A29" s="8" t="inlineStr">
        <is>
          <t>B. 📊 Usage by MRTG (Network Connectivity)</t>
        </is>
      </c>
    </row>
    <row r="30" ht="18" customHeight="1">
      <c r="A30" s="42" t="inlineStr">
        <is>
          <t>1. Staff Engineer 1</t>
        </is>
      </c>
      <c r="B30" s="39" t="n"/>
      <c r="C30" s="39" t="n"/>
      <c r="D30" s="39" t="n"/>
      <c r="E30" s="39" t="n"/>
      <c r="F30" s="39" t="n"/>
      <c r="G30" s="39" t="n"/>
      <c r="H30" s="39" t="n"/>
    </row>
    <row r="31" ht="24" customHeight="1">
      <c r="A31" s="12" t="inlineStr">
        <is>
          <t>No</t>
        </is>
      </c>
      <c r="B31" s="12" t="inlineStr">
        <is>
          <t>Link / Name</t>
        </is>
      </c>
      <c r="C31" s="12" t="inlineStr">
        <is>
          <t>SID</t>
        </is>
      </c>
      <c r="D31" s="12" t="inlineStr">
        <is>
          <t>Capacity</t>
        </is>
      </c>
      <c r="E31" s="12" t="inlineStr">
        <is>
          <t>Status</t>
        </is>
      </c>
      <c r="F31" s="12" t="inlineStr">
        <is>
          <t>Utilization (%)</t>
        </is>
      </c>
      <c r="G31" s="12" t="inlineStr">
        <is>
          <t>Remarks</t>
        </is>
      </c>
      <c r="H31" s="37" t="n"/>
    </row>
    <row r="32">
      <c r="A32" s="5" t="n">
        <v>1</v>
      </c>
      <c r="B32" s="7" t="inlineStr">
        <is>
          <t>Link Backup</t>
        </is>
      </c>
      <c r="C32" s="7" t="inlineStr">
        <is>
          <t>SID-MTR-XXXX-XXXXXX</t>
        </is>
      </c>
      <c r="D32" s="5" t="inlineStr">
        <is>
          <t>100 Mbps</t>
        </is>
      </c>
      <c r="E32" s="5" t="n"/>
      <c r="F32" s="23" t="n"/>
      <c r="G32" s="7" t="n"/>
      <c r="H32" s="37" t="n"/>
    </row>
    <row r="33">
      <c r="A33" s="16" t="n">
        <v>2</v>
      </c>
      <c r="B33" s="17" t="inlineStr">
        <is>
          <t>Link Primary</t>
        </is>
      </c>
      <c r="C33" s="17" t="inlineStr">
        <is>
          <t>SID-MTR-XXXX-XXXXXX</t>
        </is>
      </c>
      <c r="D33" s="16" t="inlineStr">
        <is>
          <t>100 Mbps</t>
        </is>
      </c>
      <c r="E33" s="16" t="n"/>
      <c r="F33" s="24" t="n"/>
      <c r="G33" s="17" t="n"/>
      <c r="H33" s="37" t="n"/>
    </row>
    <row r="34">
      <c r="A34" s="5" t="n">
        <v>3</v>
      </c>
      <c r="B34" s="7" t="inlineStr">
        <is>
          <t>Branch Office Alpha</t>
        </is>
      </c>
      <c r="C34" s="7" t="inlineStr">
        <is>
          <t>SID-MTR-XXXX-XXXXXX</t>
        </is>
      </c>
      <c r="D34" s="5" t="inlineStr">
        <is>
          <t>10 Mbps</t>
        </is>
      </c>
      <c r="E34" s="5" t="n"/>
      <c r="F34" s="23" t="n"/>
      <c r="G34" s="7" t="n"/>
      <c r="H34" s="37" t="n"/>
    </row>
    <row r="35">
      <c r="A35" s="16" t="n">
        <v>4</v>
      </c>
      <c r="B35" s="17" t="inlineStr">
        <is>
          <t>Branch Office Bravo</t>
        </is>
      </c>
      <c r="C35" s="17" t="inlineStr">
        <is>
          <t>SID-MTR-XXXX</t>
        </is>
      </c>
      <c r="D35" s="16" t="inlineStr">
        <is>
          <t>10 Mbps</t>
        </is>
      </c>
      <c r="E35" s="16" t="n"/>
      <c r="F35" s="24" t="n"/>
      <c r="G35" s="17" t="n"/>
      <c r="H35" s="37" t="n"/>
    </row>
    <row r="36">
      <c r="A36" s="5" t="n">
        <v>5</v>
      </c>
      <c r="B36" s="7" t="inlineStr">
        <is>
          <t>Branch Office Charlie</t>
        </is>
      </c>
      <c r="C36" s="7" t="inlineStr">
        <is>
          <t>SID-MTR-XXXX-XXXXXX</t>
        </is>
      </c>
      <c r="D36" s="5" t="inlineStr">
        <is>
          <t>110 Mbps</t>
        </is>
      </c>
      <c r="E36" s="5" t="n"/>
      <c r="F36" s="23" t="n"/>
      <c r="G36" s="7" t="n"/>
      <c r="H36" s="37" t="n"/>
    </row>
    <row r="37">
      <c r="A37" s="16" t="n">
        <v>6</v>
      </c>
      <c r="B37" s="17" t="inlineStr">
        <is>
          <t>Branch Office Delta</t>
        </is>
      </c>
      <c r="C37" s="17" t="inlineStr">
        <is>
          <t>SID-MTR-XXXX-XXXXXX</t>
        </is>
      </c>
      <c r="D37" s="16" t="inlineStr">
        <is>
          <t>20 Mbps</t>
        </is>
      </c>
      <c r="E37" s="16" t="n"/>
      <c r="F37" s="24" t="n"/>
      <c r="G37" s="17" t="n"/>
      <c r="H37" s="37" t="n"/>
    </row>
    <row r="38" ht="18" customHeight="1">
      <c r="A38" s="25" t="inlineStr">
        <is>
          <t>TOTAL</t>
        </is>
      </c>
      <c r="B38" s="26" t="inlineStr">
        <is>
          <t>Links with Issue</t>
        </is>
      </c>
      <c r="C38" s="26" t="n"/>
      <c r="D38" s="25" t="n"/>
      <c r="E38" s="25">
        <f>(COUNTIF(E32:E37,"High Traffic")+COUNTIF(E32:E37,"Fault"))</f>
        <v/>
      </c>
      <c r="F38" s="27">
        <f>IFERROR((SUMIF(E32:E37,"High Traffic",F32:F37)+SUMIF(E32:E37,"Fault",F32:F37))/(COUNTIF(E32:E37,"High Traffic")+COUNTIF(E32:E37,"Fault")),"")</f>
        <v/>
      </c>
      <c r="G38" s="26" t="n"/>
      <c r="H38" s="40" t="n"/>
    </row>
    <row r="39"/>
    <row r="40" ht="18" customHeight="1">
      <c r="A40" s="42" t="inlineStr">
        <is>
          <t>2. Staff Engineer 2-E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 ht="24" customHeight="1">
      <c r="A41" s="12" t="inlineStr">
        <is>
          <t>No</t>
        </is>
      </c>
      <c r="B41" s="12" t="inlineStr">
        <is>
          <t>Link / Name</t>
        </is>
      </c>
      <c r="C41" s="12" t="inlineStr">
        <is>
          <t>SID</t>
        </is>
      </c>
      <c r="D41" s="12" t="inlineStr">
        <is>
          <t>Capacity</t>
        </is>
      </c>
      <c r="E41" s="12" t="inlineStr">
        <is>
          <t>Status</t>
        </is>
      </c>
      <c r="F41" s="12" t="inlineStr">
        <is>
          <t>Utilization (%)</t>
        </is>
      </c>
      <c r="G41" s="12" t="inlineStr">
        <is>
          <t>Remarks</t>
        </is>
      </c>
      <c r="H41" s="37" t="n"/>
    </row>
    <row r="42">
      <c r="A42" s="5" t="n">
        <v>1</v>
      </c>
      <c r="B42" s="7" t="inlineStr">
        <is>
          <t>Metro Backbone Core Node Alpha</t>
        </is>
      </c>
      <c r="C42" s="7" t="inlineStr">
        <is>
          <t>SID-MTR-XXXX-XXXXXX</t>
        </is>
      </c>
      <c r="D42" s="5" t="inlineStr">
        <is>
          <t>50 Mbps</t>
        </is>
      </c>
      <c r="E42" s="5" t="n"/>
      <c r="F42" s="23" t="n"/>
      <c r="G42" s="7" t="n"/>
      <c r="H42" s="37" t="n"/>
    </row>
    <row r="43">
      <c r="A43" s="16" t="n">
        <v>2</v>
      </c>
      <c r="B43" s="17" t="inlineStr">
        <is>
          <t>Metro Backbone Core Node Bravo</t>
        </is>
      </c>
      <c r="C43" s="17" t="inlineStr">
        <is>
          <t>SID-MTR-XXXX-XXXXXX</t>
        </is>
      </c>
      <c r="D43" s="16" t="inlineStr">
        <is>
          <t>50 Mbps</t>
        </is>
      </c>
      <c r="E43" s="16" t="n"/>
      <c r="F43" s="24" t="n"/>
      <c r="G43" s="17" t="n"/>
      <c r="H43" s="37" t="n"/>
    </row>
    <row r="44">
      <c r="A44" s="5" t="n">
        <v>3</v>
      </c>
      <c r="B44" s="7" t="inlineStr">
        <is>
          <t>Metro Backbone Core Node Charlie</t>
        </is>
      </c>
      <c r="C44" s="7" t="inlineStr">
        <is>
          <t>SID-MTR-XXXX</t>
        </is>
      </c>
      <c r="D44" s="5" t="inlineStr">
        <is>
          <t>20 Mbps</t>
        </is>
      </c>
      <c r="E44" s="5" t="n"/>
      <c r="F44" s="23" t="n"/>
      <c r="G44" s="7" t="n"/>
      <c r="H44" s="37" t="n"/>
    </row>
    <row r="45">
      <c r="A45" s="16" t="n">
        <v>4</v>
      </c>
      <c r="B45" s="17" t="inlineStr">
        <is>
          <t>Metro Backbone Core Node Delta</t>
        </is>
      </c>
      <c r="C45" s="17" t="inlineStr">
        <is>
          <t>SID-MTR-XXXX</t>
        </is>
      </c>
      <c r="D45" s="16" t="inlineStr">
        <is>
          <t>120 Mbps</t>
        </is>
      </c>
      <c r="E45" s="16" t="n"/>
      <c r="F45" s="24" t="n"/>
      <c r="G45" s="17" t="n"/>
      <c r="H45" s="37" t="n"/>
    </row>
    <row r="46" ht="18" customHeight="1">
      <c r="A46" s="25" t="inlineStr">
        <is>
          <t>TOTAL</t>
        </is>
      </c>
      <c r="B46" s="26" t="inlineStr">
        <is>
          <t>Links with Issue</t>
        </is>
      </c>
      <c r="C46" s="26" t="n"/>
      <c r="D46" s="25" t="n"/>
      <c r="E46" s="25">
        <f>(COUNTIF(E42:E45,"High Traffic")+COUNTIF(E42:E45,"Fault"))</f>
        <v/>
      </c>
      <c r="F46" s="27">
        <f>IFERROR((SUMIF(E42:E45,"High Traffic",F42:F45)+SUMIF(E42:E45,"Fault",F42:F45))/(COUNTIF(E42:E45,"High Traffic")+COUNTIF(E42:E45,"Fault")),"")</f>
        <v/>
      </c>
      <c r="G46" s="26" t="n"/>
      <c r="H46" s="40" t="n"/>
    </row>
    <row r="47"/>
    <row r="48" ht="18" customHeight="1">
      <c r="A48" s="42" t="inlineStr">
        <is>
          <t>3. Staff Engineer 3(OSA)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24" customHeight="1">
      <c r="A49" s="12" t="inlineStr">
        <is>
          <t>No</t>
        </is>
      </c>
      <c r="B49" s="12" t="inlineStr">
        <is>
          <t>Link / Name</t>
        </is>
      </c>
      <c r="C49" s="12" t="inlineStr">
        <is>
          <t>SID</t>
        </is>
      </c>
      <c r="D49" s="12" t="inlineStr">
        <is>
          <t>Capacity</t>
        </is>
      </c>
      <c r="E49" s="12" t="inlineStr">
        <is>
          <t>Status</t>
        </is>
      </c>
      <c r="F49" s="12" t="inlineStr">
        <is>
          <t>Utilization (%)</t>
        </is>
      </c>
      <c r="G49" s="12" t="inlineStr">
        <is>
          <t>Remarks</t>
        </is>
      </c>
      <c r="H49" s="37" t="n"/>
    </row>
    <row r="50">
      <c r="A50" s="5" t="n">
        <v>1</v>
      </c>
      <c r="B50" s="7" t="inlineStr">
        <is>
          <t>Core Link HQ - DC A</t>
        </is>
      </c>
      <c r="C50" s="7" t="inlineStr">
        <is>
          <t>SID-VPN-0001</t>
        </is>
      </c>
      <c r="D50" s="5" t="inlineStr">
        <is>
          <t>100 Mbps</t>
        </is>
      </c>
      <c r="E50" s="5" t="n"/>
      <c r="F50" s="23" t="n"/>
      <c r="G50" s="7" t="n"/>
      <c r="H50" s="37" t="n"/>
    </row>
    <row r="51">
      <c r="A51" s="16" t="n">
        <v>2</v>
      </c>
      <c r="B51" s="17" t="inlineStr">
        <is>
          <t>Core Link DC A - HQ</t>
        </is>
      </c>
      <c r="C51" s="17" t="inlineStr">
        <is>
          <t>SID-VPN-0002</t>
        </is>
      </c>
      <c r="D51" s="16" t="inlineStr">
        <is>
          <t>100 Mbps</t>
        </is>
      </c>
      <c r="E51" s="16" t="n"/>
      <c r="F51" s="24" t="n"/>
      <c r="G51" s="17" t="n"/>
      <c r="H51" s="37" t="n"/>
    </row>
    <row r="52">
      <c r="A52" s="5" t="n">
        <v>3</v>
      </c>
      <c r="B52" s="7" t="inlineStr">
        <is>
          <t>Branch Office Delta</t>
        </is>
      </c>
      <c r="C52" s="7" t="inlineStr">
        <is>
          <t>SID-MTR-XXXX-XXXXXX</t>
        </is>
      </c>
      <c r="D52" s="5" t="inlineStr">
        <is>
          <t>10 Mbps</t>
        </is>
      </c>
      <c r="E52" s="5" t="n"/>
      <c r="F52" s="23" t="n"/>
      <c r="G52" s="7" t="n"/>
      <c r="H52" s="37" t="n"/>
    </row>
    <row r="53">
      <c r="A53" s="16" t="n">
        <v>4</v>
      </c>
      <c r="B53" s="17" t="inlineStr">
        <is>
          <t>Branch Office Charlie</t>
        </is>
      </c>
      <c r="C53" s="17" t="inlineStr">
        <is>
          <t>SID-MTR-XXXX-XXXXXX</t>
        </is>
      </c>
      <c r="D53" s="16" t="inlineStr">
        <is>
          <t>110 Mbps</t>
        </is>
      </c>
      <c r="E53" s="16" t="n"/>
      <c r="F53" s="24" t="n"/>
      <c r="G53" s="17" t="n"/>
      <c r="H53" s="37" t="n"/>
    </row>
    <row r="54">
      <c r="A54" s="5" t="n">
        <v>5</v>
      </c>
      <c r="B54" s="7" t="inlineStr">
        <is>
          <t>VPN Branch Delta</t>
        </is>
      </c>
      <c r="C54" s="7" t="inlineStr">
        <is>
          <t>SID-MTR-XXXX-XXXXXX</t>
        </is>
      </c>
      <c r="D54" s="5" t="inlineStr">
        <is>
          <t>10 Mbps</t>
        </is>
      </c>
      <c r="E54" s="5" t="n"/>
      <c r="F54" s="23" t="n"/>
      <c r="G54" s="7" t="n"/>
      <c r="H54" s="37" t="n"/>
    </row>
    <row r="55">
      <c r="A55" s="16" t="n">
        <v>6</v>
      </c>
      <c r="B55" s="17" t="inlineStr">
        <is>
          <t>Branch Office Bravo</t>
        </is>
      </c>
      <c r="C55" s="17" t="inlineStr">
        <is>
          <t>SID-MTR-XXXX</t>
        </is>
      </c>
      <c r="D55" s="16" t="inlineStr">
        <is>
          <t>10 Mbps</t>
        </is>
      </c>
      <c r="E55" s="16" t="n"/>
      <c r="F55" s="24" t="n"/>
      <c r="G55" s="17" t="n"/>
      <c r="H55" s="37" t="n"/>
    </row>
    <row r="56">
      <c r="A56" s="5" t="n">
        <v>7</v>
      </c>
      <c r="B56" s="7" t="inlineStr">
        <is>
          <t>Branch Office Alpha</t>
        </is>
      </c>
      <c r="C56" s="7" t="inlineStr">
        <is>
          <t>SID-MTR-XXXX-XXXXXX</t>
        </is>
      </c>
      <c r="D56" s="5" t="inlineStr">
        <is>
          <t>10 Mbps</t>
        </is>
      </c>
      <c r="E56" s="5" t="n"/>
      <c r="F56" s="23" t="n"/>
      <c r="G56" s="7" t="n"/>
      <c r="H56" s="37" t="n"/>
    </row>
    <row r="57" ht="18" customHeight="1">
      <c r="A57" s="25" t="inlineStr">
        <is>
          <t>TOTAL</t>
        </is>
      </c>
      <c r="B57" s="26" t="inlineStr">
        <is>
          <t>Links with Issue</t>
        </is>
      </c>
      <c r="C57" s="26" t="n"/>
      <c r="D57" s="25" t="n"/>
      <c r="E57" s="25">
        <f>(COUNTIF(E50:E56,"High Traffic")+COUNTIF(E50:E56,"Fault"))</f>
        <v/>
      </c>
      <c r="F57" s="27">
        <f>IFERROR((SUMIF(E50:E56,"High Traffic",F50:F56)+SUMIF(E50:E56,"Fault",F50:F56))/(COUNTIF(E50:E56,"High Traffic")+COUNTIF(E50:E56,"Fault")),"")</f>
        <v/>
      </c>
      <c r="G57" s="26" t="n"/>
      <c r="H57" s="40" t="n"/>
    </row>
    <row r="58"/>
    <row r="59" ht="18" customHeight="1">
      <c r="A59" s="42" t="inlineStr">
        <is>
          <t>4. Staff Engineer 4</t>
        </is>
      </c>
      <c r="B59" s="39" t="n"/>
      <c r="C59" s="39" t="n"/>
      <c r="D59" s="39" t="n"/>
      <c r="E59" s="39" t="n"/>
      <c r="F59" s="39" t="n"/>
      <c r="G59" s="39" t="n"/>
      <c r="H59" s="39" t="n"/>
    </row>
    <row r="60" ht="24" customHeight="1">
      <c r="A60" s="12" t="inlineStr">
        <is>
          <t>No</t>
        </is>
      </c>
      <c r="B60" s="12" t="inlineStr">
        <is>
          <t>Link / Name</t>
        </is>
      </c>
      <c r="C60" s="12" t="inlineStr">
        <is>
          <t>SID</t>
        </is>
      </c>
      <c r="D60" s="12" t="inlineStr">
        <is>
          <t>Capacity</t>
        </is>
      </c>
      <c r="E60" s="12" t="inlineStr">
        <is>
          <t>Status</t>
        </is>
      </c>
      <c r="F60" s="12" t="inlineStr">
        <is>
          <t>Utilization (%)</t>
        </is>
      </c>
      <c r="G60" s="12" t="inlineStr">
        <is>
          <t>Remarks</t>
        </is>
      </c>
      <c r="H60" s="37" t="n"/>
    </row>
    <row r="61">
      <c r="A61" s="5" t="n">
        <v>1</v>
      </c>
      <c r="B61" s="7" t="inlineStr">
        <is>
          <t>Internet Backup Remote</t>
        </is>
      </c>
      <c r="C61" s="7" t="inlineStr">
        <is>
          <t>SID-MTR-XXXX</t>
        </is>
      </c>
      <c r="D61" s="5" t="inlineStr">
        <is>
          <t>1100 Mbps</t>
        </is>
      </c>
      <c r="E61" s="5" t="n"/>
      <c r="F61" s="23" t="n"/>
      <c r="G61" s="7" t="n"/>
      <c r="H61" s="37" t="n"/>
    </row>
    <row r="62" ht="18" customHeight="1">
      <c r="A62" s="25" t="inlineStr">
        <is>
          <t>TOTAL</t>
        </is>
      </c>
      <c r="B62" s="26" t="inlineStr">
        <is>
          <t>Links with Issue</t>
        </is>
      </c>
      <c r="C62" s="26" t="n"/>
      <c r="D62" s="25" t="n"/>
      <c r="E62" s="25">
        <f>(COUNTIF(E61:E61,"High Traffic")+COUNTIF(E61:E61,"Fault"))</f>
        <v/>
      </c>
      <c r="F62" s="27">
        <f>IFERROR((SUMIF(E61:E61,"High Traffic",F61:F61)+SUMIF(E61:E61,"Fault",F61:F61))/(COUNTIF(E61:E61,"High Traffic")+COUNTIF(E61:E61,"Fault")),"")</f>
        <v/>
      </c>
      <c r="G62" s="26" t="n"/>
      <c r="H62" s="40" t="n"/>
    </row>
    <row r="63"/>
    <row r="64" ht="16" customHeight="1">
      <c r="A64" s="20" t="inlineStr">
        <is>
          <t>Capacity follows MRTG data (100 Mbps / 10 Mbps / 10 Mbps / 50 Mbps / 110 Mbps / 100 Mbps / 1100 Mbps); Utilization = Usage / Capacity x 100%. The TOTAL row counts only links with issue (High Traffic / Fault).</t>
        </is>
      </c>
      <c r="B64" s="38" t="n"/>
      <c r="C64" s="38" t="n"/>
      <c r="D64" s="38" t="n"/>
      <c r="E64" s="38" t="n"/>
      <c r="F64" s="38" t="n"/>
      <c r="G64" s="38" t="n"/>
      <c r="H64" s="37" t="n"/>
    </row>
    <row r="65"/>
    <row r="66" ht="22" customHeight="1">
      <c r="A66" s="8" t="inlineStr">
        <is>
          <t>C. 🔀 Switch &amp; Core Infrastructure</t>
        </is>
      </c>
    </row>
    <row r="67" ht="18" customHeight="1">
      <c r="A67" s="42" t="inlineStr">
        <is>
          <t>1. Staff Engineer 1(Ping)</t>
        </is>
      </c>
      <c r="B67" s="39" t="n"/>
      <c r="C67" s="39" t="n"/>
      <c r="D67" s="39" t="n"/>
      <c r="E67" s="39" t="n"/>
      <c r="F67" s="39" t="n"/>
      <c r="G67" s="39" t="n"/>
      <c r="H67" s="39" t="n"/>
    </row>
    <row r="68" ht="24" customHeight="1">
      <c r="A68" s="12" t="inlineStr">
        <is>
          <t>No</t>
        </is>
      </c>
      <c r="B68" s="12" t="inlineStr">
        <is>
          <t>Destination</t>
        </is>
      </c>
      <c r="C68" s="12" t="inlineStr">
        <is>
          <t>Role / Interface</t>
        </is>
      </c>
      <c r="D68" s="12" t="inlineStr">
        <is>
          <t>IP Address</t>
        </is>
      </c>
      <c r="E68" s="12" t="inlineStr">
        <is>
          <t>Average (ms)</t>
        </is>
      </c>
      <c r="F68" s="12" t="inlineStr">
        <is>
          <t>Loss (%)</t>
        </is>
      </c>
      <c r="G68" s="12" t="inlineStr">
        <is>
          <t>Status</t>
        </is>
      </c>
      <c r="H68" s="12" t="inlineStr">
        <is>
          <t>Remarks</t>
        </is>
      </c>
    </row>
    <row r="69">
      <c r="A69" s="5" t="n">
        <v>1</v>
      </c>
      <c r="B69" s="7" t="inlineStr">
        <is>
          <t>Private Cloud Gateway</t>
        </is>
      </c>
      <c r="C69" s="7" t="n"/>
      <c r="D69" s="5" t="inlineStr">
        <is>
          <t>10.10.1.X</t>
        </is>
      </c>
      <c r="E69" s="14" t="n"/>
      <c r="F69" s="23" t="n"/>
      <c r="G69" s="5" t="n"/>
      <c r="H69" s="7" t="n"/>
    </row>
    <row r="70">
      <c r="A70" s="16" t="n">
        <v>2</v>
      </c>
      <c r="B70" s="17" t="inlineStr">
        <is>
          <t>VPN Hub Gateway</t>
        </is>
      </c>
      <c r="C70" s="17" t="n"/>
      <c r="D70" s="16" t="inlineStr">
        <is>
          <t>10.10.1.X</t>
        </is>
      </c>
      <c r="E70" s="19" t="n"/>
      <c r="F70" s="24" t="n"/>
      <c r="G70" s="16" t="n"/>
      <c r="H70" s="17" t="n"/>
    </row>
    <row r="71">
      <c r="A71" s="5" t="n">
        <v>3</v>
      </c>
      <c r="B71" s="7" t="inlineStr">
        <is>
          <t>Upstream Provider Router</t>
        </is>
      </c>
      <c r="C71" s="7" t="n"/>
      <c r="D71" s="5" t="inlineStr">
        <is>
          <t>10.10.1.X</t>
        </is>
      </c>
      <c r="E71" s="14" t="n"/>
      <c r="F71" s="23" t="n"/>
      <c r="G71" s="5" t="n"/>
      <c r="H71" s="7" t="n"/>
    </row>
    <row r="72">
      <c r="A72" s="16" t="n">
        <v>4</v>
      </c>
      <c r="B72" s="17" t="inlineStr">
        <is>
          <t>Cellular IoT-Sensors Gateway</t>
        </is>
      </c>
      <c r="C72" s="17" t="n"/>
      <c r="D72" s="16" t="inlineStr">
        <is>
          <t>10.10.1.X</t>
        </is>
      </c>
      <c r="E72" s="19" t="n"/>
      <c r="F72" s="24" t="n"/>
      <c r="G72" s="16" t="n"/>
      <c r="H72" s="17" t="n"/>
    </row>
    <row r="73">
      <c r="A73" s="5" t="n">
        <v>5</v>
      </c>
      <c r="B73" s="7" t="inlineStr">
        <is>
          <t>Metro Backbone Core</t>
        </is>
      </c>
      <c r="C73" s="7" t="n"/>
      <c r="D73" s="5" t="inlineStr">
        <is>
          <t>10.10.1.X</t>
        </is>
      </c>
      <c r="E73" s="14" t="n"/>
      <c r="F73" s="23" t="n"/>
      <c r="G73" s="5" t="n"/>
      <c r="H73" s="7" t="n"/>
    </row>
    <row r="74">
      <c r="A74" s="16" t="n">
        <v>6</v>
      </c>
      <c r="B74" s="17" t="inlineStr">
        <is>
          <t>Partner B2B Gateway</t>
        </is>
      </c>
      <c r="C74" s="17" t="n"/>
      <c r="D74" s="16" t="inlineStr">
        <is>
          <t>10.10.2.X</t>
        </is>
      </c>
      <c r="E74" s="19" t="n"/>
      <c r="F74" s="24" t="n"/>
      <c r="G74" s="16" t="n"/>
      <c r="H74" s="17" t="n"/>
    </row>
    <row r="75">
      <c r="A75" s="5" t="n">
        <v>7</v>
      </c>
      <c r="B75" s="7" t="inlineStr">
        <is>
          <t>Cloud Transit Hub</t>
        </is>
      </c>
      <c r="C75" s="7" t="n"/>
      <c r="D75" s="5" t="inlineStr">
        <is>
          <t>10.10.1.X</t>
        </is>
      </c>
      <c r="E75" s="14" t="n"/>
      <c r="F75" s="23" t="n"/>
      <c r="G75" s="5" t="n"/>
      <c r="H75" s="7" t="n"/>
    </row>
    <row r="76" ht="16" customHeight="1">
      <c r="A76" s="20" t="inlineStr">
        <is>
          <t>Reference threshold: Loss &lt; 1% and average &lt; 100 ms means Normal.</t>
        </is>
      </c>
      <c r="B76" s="38" t="n"/>
      <c r="C76" s="38" t="n"/>
      <c r="D76" s="38" t="n"/>
      <c r="E76" s="38" t="n"/>
      <c r="F76" s="38" t="n"/>
      <c r="G76" s="38" t="n"/>
      <c r="H76" s="37" t="n"/>
    </row>
    <row r="77"/>
    <row r="78" ht="18" customHeight="1">
      <c r="A78" s="42" t="inlineStr">
        <is>
          <t>2. Staff Engineer 2</t>
        </is>
      </c>
      <c r="B78" s="39" t="n"/>
      <c r="C78" s="39" t="n"/>
      <c r="D78" s="39" t="n"/>
      <c r="E78" s="39" t="n"/>
      <c r="F78" s="39" t="n"/>
      <c r="G78" s="39" t="n"/>
      <c r="H78" s="39" t="n"/>
    </row>
    <row r="79" ht="24" customHeight="1">
      <c r="A79" s="12" t="inlineStr">
        <is>
          <t>No</t>
        </is>
      </c>
      <c r="B79" s="12" t="inlineStr">
        <is>
          <t>Category</t>
        </is>
      </c>
      <c r="C79" s="37" t="n"/>
      <c r="D79" s="12" t="inlineStr">
        <is>
          <t>Count</t>
        </is>
      </c>
      <c r="E79" s="12" t="inlineStr">
        <is>
          <t>Status</t>
        </is>
      </c>
      <c r="F79" s="12" t="inlineStr">
        <is>
          <t>Remarks</t>
        </is>
      </c>
      <c r="G79" s="38" t="n"/>
      <c r="H79" s="37" t="n"/>
    </row>
    <row r="80">
      <c r="A80" s="5" t="n">
        <v>1</v>
      </c>
      <c r="B80" s="7" t="inlineStr">
        <is>
          <t>UP</t>
        </is>
      </c>
      <c r="C80" s="37" t="n"/>
      <c r="D80" s="14" t="n"/>
      <c r="E80" s="5" t="n"/>
      <c r="F80" s="7" t="n"/>
      <c r="G80" s="38" t="n"/>
      <c r="H80" s="37" t="n"/>
    </row>
    <row r="81">
      <c r="A81" s="16" t="n">
        <v>2</v>
      </c>
      <c r="B81" s="17" t="inlineStr">
        <is>
          <t>Paused</t>
        </is>
      </c>
      <c r="C81" s="37" t="n"/>
      <c r="D81" s="19" t="n"/>
      <c r="E81" s="16" t="n"/>
      <c r="F81" s="17" t="n"/>
      <c r="G81" s="38" t="n"/>
      <c r="H81" s="37" t="n"/>
    </row>
    <row r="82" ht="18" customHeight="1">
      <c r="A82" s="25" t="n"/>
      <c r="B82" s="26" t="inlineStr">
        <is>
          <t>TOTAL SENSORS</t>
        </is>
      </c>
      <c r="C82" s="40" t="n"/>
      <c r="D82" s="29">
        <f>SUM(D80:D81)</f>
        <v/>
      </c>
      <c r="E82" s="25" t="n"/>
      <c r="F82" s="26" t="n"/>
      <c r="G82" s="41" t="n"/>
      <c r="H82" s="40" t="n"/>
    </row>
    <row r="83"/>
    <row r="84" ht="18" customHeight="1">
      <c r="A84" s="42" t="inlineStr">
        <is>
          <t>3. Staff Engineer 310 CPU Utilization</t>
        </is>
      </c>
      <c r="B84" s="39" t="n"/>
      <c r="C84" s="39" t="n"/>
      <c r="D84" s="39" t="n"/>
      <c r="E84" s="39" t="n"/>
      <c r="F84" s="39" t="n"/>
      <c r="G84" s="39" t="n"/>
      <c r="H84" s="39" t="n"/>
    </row>
    <row r="85" ht="24" customHeight="1">
      <c r="A85" s="12" t="inlineStr">
        <is>
          <t>Rank</t>
        </is>
      </c>
      <c r="B85" s="12" t="inlineStr">
        <is>
          <t>Device</t>
        </is>
      </c>
      <c r="C85" s="37" t="n"/>
      <c r="D85" s="12" t="inlineStr">
        <is>
          <t>Utilization (%)</t>
        </is>
      </c>
      <c r="E85" s="12" t="inlineStr">
        <is>
          <t>Baseline</t>
        </is>
      </c>
      <c r="F85" s="12" t="inlineStr">
        <is>
          <t>Status</t>
        </is>
      </c>
      <c r="G85" s="12" t="inlineStr">
        <is>
          <t>Remarks</t>
        </is>
      </c>
      <c r="H85" s="37" t="n"/>
    </row>
    <row r="86">
      <c r="A86" s="5" t="n">
        <v>1</v>
      </c>
      <c r="B86" s="7" t="n"/>
      <c r="C86" s="37" t="n"/>
      <c r="D86" s="23" t="n"/>
      <c r="E86" s="23" t="n">
        <v>80</v>
      </c>
      <c r="F86" s="5" t="n"/>
      <c r="G86" s="7" t="n"/>
      <c r="H86" s="37" t="n"/>
    </row>
    <row r="87">
      <c r="A87" s="16" t="n">
        <v>2</v>
      </c>
      <c r="B87" s="17" t="n"/>
      <c r="C87" s="37" t="n"/>
      <c r="D87" s="24" t="n"/>
      <c r="E87" s="24" t="n">
        <v>80</v>
      </c>
      <c r="F87" s="16" t="n"/>
      <c r="G87" s="17" t="n"/>
      <c r="H87" s="37" t="n"/>
    </row>
    <row r="88">
      <c r="A88" s="5" t="n">
        <v>3</v>
      </c>
      <c r="B88" s="7" t="n"/>
      <c r="C88" s="37" t="n"/>
      <c r="D88" s="23" t="n"/>
      <c r="E88" s="23" t="n">
        <v>80</v>
      </c>
      <c r="F88" s="5" t="n"/>
      <c r="G88" s="7" t="n"/>
      <c r="H88" s="37" t="n"/>
    </row>
    <row r="89">
      <c r="A89" s="16" t="n">
        <v>4</v>
      </c>
      <c r="B89" s="17" t="n"/>
      <c r="C89" s="37" t="n"/>
      <c r="D89" s="24" t="n"/>
      <c r="E89" s="24" t="n">
        <v>80</v>
      </c>
      <c r="F89" s="16" t="n"/>
      <c r="G89" s="17" t="n"/>
      <c r="H89" s="37" t="n"/>
    </row>
    <row r="90">
      <c r="A90" s="5" t="n">
        <v>5</v>
      </c>
      <c r="B90" s="7" t="n"/>
      <c r="C90" s="37" t="n"/>
      <c r="D90" s="23" t="n"/>
      <c r="E90" s="23" t="n">
        <v>80</v>
      </c>
      <c r="F90" s="5" t="n"/>
      <c r="G90" s="7" t="n"/>
      <c r="H90" s="37" t="n"/>
    </row>
    <row r="91">
      <c r="A91" s="16" t="n">
        <v>6</v>
      </c>
      <c r="B91" s="17" t="n"/>
      <c r="C91" s="37" t="n"/>
      <c r="D91" s="24" t="n"/>
      <c r="E91" s="24" t="n">
        <v>80</v>
      </c>
      <c r="F91" s="16" t="n"/>
      <c r="G91" s="17" t="n"/>
      <c r="H91" s="37" t="n"/>
    </row>
    <row r="92">
      <c r="A92" s="5" t="n">
        <v>7</v>
      </c>
      <c r="B92" s="7" t="n"/>
      <c r="C92" s="37" t="n"/>
      <c r="D92" s="23" t="n"/>
      <c r="E92" s="23" t="n">
        <v>80</v>
      </c>
      <c r="F92" s="5" t="n"/>
      <c r="G92" s="7" t="n"/>
      <c r="H92" s="37" t="n"/>
    </row>
    <row r="93">
      <c r="A93" s="16" t="n">
        <v>8</v>
      </c>
      <c r="B93" s="17" t="n"/>
      <c r="C93" s="37" t="n"/>
      <c r="D93" s="24" t="n"/>
      <c r="E93" s="24" t="n">
        <v>80</v>
      </c>
      <c r="F93" s="16" t="n"/>
      <c r="G93" s="17" t="n"/>
      <c r="H93" s="37" t="n"/>
    </row>
    <row r="94">
      <c r="A94" s="5" t="n">
        <v>9</v>
      </c>
      <c r="B94" s="7" t="n"/>
      <c r="C94" s="37" t="n"/>
      <c r="D94" s="23" t="n"/>
      <c r="E94" s="23" t="n">
        <v>80</v>
      </c>
      <c r="F94" s="5" t="n"/>
      <c r="G94" s="7" t="n"/>
      <c r="H94" s="37" t="n"/>
    </row>
    <row r="95">
      <c r="A95" s="16" t="n">
        <v>10</v>
      </c>
      <c r="B95" s="17" t="n"/>
      <c r="C95" s="37" t="n"/>
      <c r="D95" s="24" t="n"/>
      <c r="E95" s="24" t="n">
        <v>80</v>
      </c>
      <c r="F95" s="16" t="n"/>
      <c r="G95" s="17" t="n"/>
      <c r="H95" s="37" t="n"/>
    </row>
    <row r="96" ht="16" customHeight="1">
      <c r="A96" s="20" t="inlineStr">
        <is>
          <t>CPU baseline: Normal &lt; 60%, Warning 60% - 80%, Critical &gt; 80%.</t>
        </is>
      </c>
      <c r="B96" s="38" t="n"/>
      <c r="C96" s="38" t="n"/>
      <c r="D96" s="38" t="n"/>
      <c r="E96" s="38" t="n"/>
      <c r="F96" s="38" t="n"/>
      <c r="G96" s="38" t="n"/>
      <c r="H96" s="37" t="n"/>
    </row>
    <row r="97"/>
    <row r="98" ht="18" customHeight="1">
      <c r="A98" s="42" t="inlineStr">
        <is>
          <t>4. Staff Engineer 410 Memory Usage</t>
        </is>
      </c>
      <c r="B98" s="39" t="n"/>
      <c r="C98" s="39" t="n"/>
      <c r="D98" s="39" t="n"/>
      <c r="E98" s="39" t="n"/>
      <c r="F98" s="39" t="n"/>
      <c r="G98" s="39" t="n"/>
      <c r="H98" s="39" t="n"/>
    </row>
    <row r="99" ht="24" customHeight="1">
      <c r="A99" s="12" t="inlineStr">
        <is>
          <t>Rank</t>
        </is>
      </c>
      <c r="B99" s="12" t="inlineStr">
        <is>
          <t>Device</t>
        </is>
      </c>
      <c r="C99" s="37" t="n"/>
      <c r="D99" s="12" t="inlineStr">
        <is>
          <t>Utilization (%)</t>
        </is>
      </c>
      <c r="E99" s="12" t="inlineStr">
        <is>
          <t>Baseline</t>
        </is>
      </c>
      <c r="F99" s="12" t="inlineStr">
        <is>
          <t>Status</t>
        </is>
      </c>
      <c r="G99" s="12" t="inlineStr">
        <is>
          <t>Remarks</t>
        </is>
      </c>
      <c r="H99" s="37" t="n"/>
    </row>
    <row r="100">
      <c r="A100" s="5" t="n">
        <v>1</v>
      </c>
      <c r="B100" s="7" t="n"/>
      <c r="C100" s="37" t="n"/>
      <c r="D100" s="23" t="n"/>
      <c r="E100" s="23" t="n">
        <v>70</v>
      </c>
      <c r="F100" s="5" t="n"/>
      <c r="G100" s="7" t="n"/>
      <c r="H100" s="37" t="n"/>
    </row>
    <row r="101">
      <c r="A101" s="16" t="n">
        <v>2</v>
      </c>
      <c r="B101" s="17" t="n"/>
      <c r="C101" s="37" t="n"/>
      <c r="D101" s="24" t="n"/>
      <c r="E101" s="24" t="n">
        <v>70</v>
      </c>
      <c r="F101" s="16" t="n"/>
      <c r="G101" s="17" t="n"/>
      <c r="H101" s="37" t="n"/>
    </row>
    <row r="102">
      <c r="A102" s="5" t="n">
        <v>3</v>
      </c>
      <c r="B102" s="7" t="n"/>
      <c r="C102" s="37" t="n"/>
      <c r="D102" s="23" t="n"/>
      <c r="E102" s="23" t="n">
        <v>70</v>
      </c>
      <c r="F102" s="5" t="n"/>
      <c r="G102" s="7" t="n"/>
      <c r="H102" s="37" t="n"/>
    </row>
    <row r="103">
      <c r="A103" s="16" t="n">
        <v>4</v>
      </c>
      <c r="B103" s="17" t="n"/>
      <c r="C103" s="37" t="n"/>
      <c r="D103" s="24" t="n"/>
      <c r="E103" s="24" t="n">
        <v>70</v>
      </c>
      <c r="F103" s="16" t="n"/>
      <c r="G103" s="17" t="n"/>
      <c r="H103" s="37" t="n"/>
    </row>
    <row r="104">
      <c r="A104" s="5" t="n">
        <v>5</v>
      </c>
      <c r="B104" s="7" t="n"/>
      <c r="C104" s="37" t="n"/>
      <c r="D104" s="23" t="n"/>
      <c r="E104" s="23" t="n">
        <v>70</v>
      </c>
      <c r="F104" s="5" t="n"/>
      <c r="G104" s="7" t="n"/>
      <c r="H104" s="37" t="n"/>
    </row>
    <row r="105">
      <c r="A105" s="16" t="n">
        <v>6</v>
      </c>
      <c r="B105" s="17" t="n"/>
      <c r="C105" s="37" t="n"/>
      <c r="D105" s="24" t="n"/>
      <c r="E105" s="24" t="n">
        <v>70</v>
      </c>
      <c r="F105" s="16" t="n"/>
      <c r="G105" s="17" t="n"/>
      <c r="H105" s="37" t="n"/>
    </row>
    <row r="106">
      <c r="A106" s="5" t="n">
        <v>7</v>
      </c>
      <c r="B106" s="7" t="n"/>
      <c r="C106" s="37" t="n"/>
      <c r="D106" s="23" t="n"/>
      <c r="E106" s="23" t="n">
        <v>70</v>
      </c>
      <c r="F106" s="5" t="n"/>
      <c r="G106" s="7" t="n"/>
      <c r="H106" s="37" t="n"/>
    </row>
    <row r="107">
      <c r="A107" s="16" t="n">
        <v>8</v>
      </c>
      <c r="B107" s="17" t="n"/>
      <c r="C107" s="37" t="n"/>
      <c r="D107" s="24" t="n"/>
      <c r="E107" s="24" t="n">
        <v>70</v>
      </c>
      <c r="F107" s="16" t="n"/>
      <c r="G107" s="17" t="n"/>
      <c r="H107" s="37" t="n"/>
    </row>
    <row r="108">
      <c r="A108" s="5" t="n">
        <v>9</v>
      </c>
      <c r="B108" s="7" t="n"/>
      <c r="C108" s="37" t="n"/>
      <c r="D108" s="23" t="n"/>
      <c r="E108" s="23" t="n">
        <v>70</v>
      </c>
      <c r="F108" s="5" t="n"/>
      <c r="G108" s="7" t="n"/>
      <c r="H108" s="37" t="n"/>
    </row>
    <row r="109">
      <c r="A109" s="16" t="n">
        <v>10</v>
      </c>
      <c r="B109" s="17" t="n"/>
      <c r="C109" s="37" t="n"/>
      <c r="D109" s="24" t="n"/>
      <c r="E109" s="24" t="n">
        <v>70</v>
      </c>
      <c r="F109" s="16" t="n"/>
      <c r="G109" s="17" t="n"/>
      <c r="H109" s="37" t="n"/>
    </row>
    <row r="110" ht="16" customHeight="1">
      <c r="A110" s="20" t="inlineStr">
        <is>
          <t>Memory baseline: Normal &lt; 70%, Monitoring 70% - 85%, Critical &gt; 85%.</t>
        </is>
      </c>
      <c r="B110" s="38" t="n"/>
      <c r="C110" s="38" t="n"/>
      <c r="D110" s="38" t="n"/>
      <c r="E110" s="38" t="n"/>
      <c r="F110" s="38" t="n"/>
      <c r="G110" s="38" t="n"/>
      <c r="H110" s="37" t="n"/>
    </row>
    <row r="111"/>
    <row r="112" ht="18" customHeight="1">
      <c r="A112" s="42" t="inlineStr">
        <is>
          <t>5. Staff Engineer 5</t>
        </is>
      </c>
      <c r="B112" s="39" t="n"/>
      <c r="C112" s="39" t="n"/>
      <c r="D112" s="39" t="n"/>
      <c r="E112" s="39" t="n"/>
      <c r="F112" s="39" t="n"/>
      <c r="G112" s="39" t="n"/>
      <c r="H112" s="39" t="n"/>
    </row>
    <row r="113" ht="24" customHeight="1">
      <c r="A113" s="12" t="inlineStr">
        <is>
          <t>No</t>
        </is>
      </c>
      <c r="B113" s="12" t="inlineStr">
        <is>
          <t>Parameter / Scope</t>
        </is>
      </c>
      <c r="C113" s="37" t="n"/>
      <c r="D113" s="12" t="inlineStr">
        <is>
          <t>SNMP (%)</t>
        </is>
      </c>
      <c r="E113" s="12" t="inlineStr">
        <is>
          <t>ICMP (%)</t>
        </is>
      </c>
      <c r="F113" s="12" t="inlineStr">
        <is>
          <t>HTTPS (%)</t>
        </is>
      </c>
      <c r="G113" s="12" t="inlineStr">
        <is>
          <t>Remarks</t>
        </is>
      </c>
      <c r="H113" s="37" t="n"/>
    </row>
    <row r="114">
      <c r="A114" s="5" t="n">
        <v>1</v>
      </c>
      <c r="B114" s="7" t="inlineStr">
        <is>
          <t>Device Uptime</t>
        </is>
      </c>
      <c r="C114" s="37" t="n"/>
      <c r="D114" s="23" t="n"/>
      <c r="E114" s="23" t="n"/>
      <c r="F114" s="23" t="n"/>
      <c r="G114" s="7" t="inlineStr">
        <is>
          <t>Device Uptime xx%</t>
        </is>
      </c>
      <c r="H114" s="37" t="n"/>
    </row>
    <row r="115" ht="16" customHeight="1">
      <c r="A115" s="20" t="inlineStr">
        <is>
          <t>HTTPS is filled with '-' when the device has no HTTPS sensor.</t>
        </is>
      </c>
      <c r="B115" s="38" t="n"/>
      <c r="C115" s="38" t="n"/>
      <c r="D115" s="38" t="n"/>
      <c r="E115" s="38" t="n"/>
      <c r="F115" s="38" t="n"/>
      <c r="G115" s="38" t="n"/>
      <c r="H115" s="37" t="n"/>
    </row>
    <row r="116"/>
    <row r="117" ht="18" customHeight="1">
      <c r="A117" s="42" t="inlineStr">
        <is>
          <t>6. PIC 6</t>
        </is>
      </c>
      <c r="B117" s="39" t="n"/>
      <c r="C117" s="39" t="n"/>
      <c r="D117" s="39" t="n"/>
      <c r="E117" s="39" t="n"/>
      <c r="F117" s="39" t="n"/>
      <c r="G117" s="39" t="n"/>
      <c r="H117" s="39" t="n"/>
    </row>
    <row r="118" ht="24" customHeight="1">
      <c r="A118" s="12" t="inlineStr">
        <is>
          <t>No</t>
        </is>
      </c>
      <c r="B118" s="12" t="inlineStr">
        <is>
          <t>Aspect</t>
        </is>
      </c>
      <c r="C118" s="37" t="n"/>
      <c r="D118" s="12" t="inlineStr">
        <is>
          <t>Analysis / Findings</t>
        </is>
      </c>
      <c r="E118" s="38" t="n"/>
      <c r="F118" s="38" t="n"/>
      <c r="G118" s="38" t="n"/>
      <c r="H118" s="37" t="n"/>
    </row>
    <row r="119" ht="30" customHeight="1">
      <c r="A119" s="5" t="n">
        <v>1</v>
      </c>
      <c r="B119" s="7" t="inlineStr">
        <is>
          <t>CPU Utilization</t>
        </is>
      </c>
      <c r="C119" s="37" t="n"/>
      <c r="D119" s="7" t="n"/>
      <c r="E119" s="38" t="n"/>
      <c r="F119" s="38" t="n"/>
      <c r="G119" s="38" t="n"/>
      <c r="H119" s="37" t="n"/>
    </row>
    <row r="120" ht="30" customHeight="1">
      <c r="A120" s="16" t="n">
        <v>2</v>
      </c>
      <c r="B120" s="17" t="inlineStr">
        <is>
          <t>Memory Usage</t>
        </is>
      </c>
      <c r="C120" s="37" t="n"/>
      <c r="D120" s="17" t="n"/>
      <c r="E120" s="38" t="n"/>
      <c r="F120" s="38" t="n"/>
      <c r="G120" s="38" t="n"/>
      <c r="H120" s="37" t="n"/>
    </row>
    <row r="121" ht="30" customHeight="1">
      <c r="A121" s="5" t="n">
        <v>3</v>
      </c>
      <c r="B121" s="7" t="inlineStr">
        <is>
          <t>Uptime &amp; Connectivity</t>
        </is>
      </c>
      <c r="C121" s="37" t="n"/>
      <c r="D121" s="7" t="n"/>
      <c r="E121" s="38" t="n"/>
      <c r="F121" s="38" t="n"/>
      <c r="G121" s="38" t="n"/>
      <c r="H121" s="37" t="n"/>
    </row>
    <row r="122"/>
    <row r="123" ht="22" customHeight="1">
      <c r="A123" s="8" t="inlineStr">
        <is>
          <t>D. 📶 Huawei AP (WAC) &amp; Wi-Fi SSID</t>
        </is>
      </c>
    </row>
    <row r="124" ht="18" customHeight="1">
      <c r="A124" s="42" t="inlineStr">
        <is>
          <t>1. Staff Engineer 1</t>
        </is>
      </c>
      <c r="B124" s="39" t="n"/>
      <c r="C124" s="39" t="n"/>
      <c r="D124" s="39" t="n"/>
      <c r="E124" s="39" t="n"/>
      <c r="F124" s="39" t="n"/>
      <c r="G124" s="39" t="n"/>
      <c r="H124" s="39" t="n"/>
    </row>
    <row r="125" ht="24" customHeight="1">
      <c r="A125" s="12" t="inlineStr">
        <is>
          <t>No</t>
        </is>
      </c>
      <c r="B125" s="12" t="inlineStr">
        <is>
          <t>Parameter</t>
        </is>
      </c>
      <c r="C125" s="12" t="inlineStr">
        <is>
          <t>Description</t>
        </is>
      </c>
      <c r="D125" s="37" t="n"/>
      <c r="E125" s="12" t="inlineStr">
        <is>
          <t>Count</t>
        </is>
      </c>
      <c r="F125" s="12" t="inlineStr">
        <is>
          <t>Percentage (%)</t>
        </is>
      </c>
      <c r="G125" s="12" t="inlineStr">
        <is>
          <t>Status</t>
        </is>
      </c>
      <c r="H125" s="37" t="n"/>
    </row>
    <row r="126">
      <c r="A126" s="5" t="n">
        <v>1</v>
      </c>
      <c r="B126" s="7" t="inlineStr">
        <is>
          <t>Normal</t>
        </is>
      </c>
      <c r="C126" s="7" t="inlineStr">
        <is>
          <t>AP online</t>
        </is>
      </c>
      <c r="D126" s="37" t="n"/>
      <c r="E126" s="14" t="n"/>
      <c r="F126" s="23">
        <f>IFERROR(E126/(E126+E127)*100,"")</f>
        <v/>
      </c>
      <c r="G126" s="5" t="n"/>
      <c r="H126" s="37" t="n"/>
    </row>
    <row r="127">
      <c r="A127" s="16" t="n">
        <v>2</v>
      </c>
      <c r="B127" s="17" t="inlineStr">
        <is>
          <t>Fault</t>
        </is>
      </c>
      <c r="C127" s="17" t="inlineStr">
        <is>
          <t>AP offline / alarm</t>
        </is>
      </c>
      <c r="D127" s="37" t="n"/>
      <c r="E127" s="19" t="n"/>
      <c r="F127" s="24">
        <f>IFERROR(E127/(E126+E127)*100,"")</f>
        <v/>
      </c>
      <c r="G127" s="16" t="n"/>
      <c r="H127" s="37" t="n"/>
    </row>
    <row r="128">
      <c r="A128" s="5" t="n">
        <v>3</v>
      </c>
      <c r="B128" s="7" t="inlineStr">
        <is>
          <t>Connected Users</t>
        </is>
      </c>
      <c r="C128" s="7" t="inlineStr">
        <is>
          <t>Total connected users</t>
        </is>
      </c>
      <c r="D128" s="37" t="n"/>
      <c r="E128" s="14" t="n"/>
      <c r="F128" s="23" t="n"/>
      <c r="G128" s="5" t="n"/>
      <c r="H128" s="37" t="n"/>
    </row>
    <row r="129" ht="16" customHeight="1">
      <c r="A129" s="20" t="inlineStr">
        <is>
          <t>Percentage = Count / (Normal + Fault) x 100%.</t>
        </is>
      </c>
      <c r="B129" s="38" t="n"/>
      <c r="C129" s="38" t="n"/>
      <c r="D129" s="38" t="n"/>
      <c r="E129" s="38" t="n"/>
      <c r="F129" s="38" t="n"/>
      <c r="G129" s="38" t="n"/>
      <c r="H129" s="37" t="n"/>
    </row>
    <row r="130"/>
    <row r="131" ht="18" customHeight="1">
      <c r="A131" s="42" t="inlineStr">
        <is>
          <t>2. Staff Engineer 2</t>
        </is>
      </c>
      <c r="B131" s="39" t="n"/>
      <c r="C131" s="39" t="n"/>
      <c r="D131" s="39" t="n"/>
      <c r="E131" s="39" t="n"/>
      <c r="F131" s="39" t="n"/>
      <c r="G131" s="39" t="n"/>
      <c r="H131" s="39" t="n"/>
    </row>
    <row r="132" ht="24" customHeight="1">
      <c r="A132" s="12" t="inlineStr">
        <is>
          <t>No</t>
        </is>
      </c>
      <c r="B132" s="12" t="inlineStr">
        <is>
          <t>Category</t>
        </is>
      </c>
      <c r="C132" s="12" t="inlineStr">
        <is>
          <t>Type</t>
        </is>
      </c>
      <c r="D132" s="12" t="inlineStr">
        <is>
          <t>OK Count</t>
        </is>
      </c>
      <c r="E132" s="12" t="inlineStr">
        <is>
          <t>Fault Count</t>
        </is>
      </c>
      <c r="F132" s="12" t="inlineStr">
        <is>
          <t>Remarks</t>
        </is>
      </c>
      <c r="G132" s="37" t="n"/>
      <c r="H132" s="12" t="inlineStr">
        <is>
          <t>Status</t>
        </is>
      </c>
    </row>
    <row r="133">
      <c r="A133" s="5" t="n">
        <v>1</v>
      </c>
      <c r="B133" s="7" t="inlineStr">
        <is>
          <t>Indoor</t>
        </is>
      </c>
      <c r="C133" s="7" t="inlineStr">
        <is>
          <t>Indoor AP</t>
        </is>
      </c>
      <c r="D133" s="14" t="n"/>
      <c r="E133" s="14" t="n"/>
      <c r="F133" s="7" t="n"/>
      <c r="G133" s="37" t="n"/>
      <c r="H133" s="5" t="n"/>
    </row>
    <row r="134">
      <c r="A134" s="16" t="n">
        <v>2</v>
      </c>
      <c r="B134" s="17" t="inlineStr">
        <is>
          <t>Outdoor</t>
        </is>
      </c>
      <c r="C134" s="17" t="inlineStr">
        <is>
          <t>Outdoor AP</t>
        </is>
      </c>
      <c r="D134" s="19" t="n"/>
      <c r="E134" s="19" t="n"/>
      <c r="F134" s="17" t="n"/>
      <c r="G134" s="37" t="n"/>
      <c r="H134" s="16" t="n"/>
    </row>
    <row r="135" ht="18" customHeight="1">
      <c r="A135" s="25" t="n"/>
      <c r="B135" s="26" t="inlineStr">
        <is>
          <t>TOTAL</t>
        </is>
      </c>
      <c r="C135" s="26" t="inlineStr">
        <is>
          <t>Indoor + Outdoor</t>
        </is>
      </c>
      <c r="D135" s="29">
        <f>SUM(D133:D134)</f>
        <v/>
      </c>
      <c r="E135" s="29">
        <f>SUM(E133:E134)</f>
        <v/>
      </c>
      <c r="F135" s="26" t="n"/>
      <c r="G135" s="40" t="n"/>
      <c r="H135" s="25" t="n"/>
    </row>
    <row r="136"/>
    <row r="137" ht="18" customHeight="1">
      <c r="A137" s="42" t="inlineStr">
        <is>
          <t>3. Staff Engineer 3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 ht="24" customHeight="1">
      <c r="A138" s="12" t="inlineStr">
        <is>
          <t>No</t>
        </is>
      </c>
      <c r="B138" s="12" t="inlineStr">
        <is>
          <t>SSID</t>
        </is>
      </c>
      <c r="C138" s="38" t="n"/>
      <c r="D138" s="37" t="n"/>
      <c r="E138" s="12" t="inlineStr">
        <is>
          <t>Connected Users</t>
        </is>
      </c>
      <c r="F138" s="37" t="n"/>
      <c r="G138" s="12" t="inlineStr">
        <is>
          <t>Percentage (%)</t>
        </is>
      </c>
      <c r="H138" s="37" t="n"/>
    </row>
    <row r="139">
      <c r="A139" s="5" t="n">
        <v>1</v>
      </c>
      <c r="B139" s="7" t="inlineStr">
        <is>
          <t>IoT-Sensors</t>
        </is>
      </c>
      <c r="C139" s="38" t="n"/>
      <c r="D139" s="37" t="n"/>
      <c r="E139" s="14" t="n"/>
      <c r="F139" s="37" t="n"/>
      <c r="G139" s="23">
        <f>IFERROR(E139/$E$147*100,"")</f>
        <v/>
      </c>
      <c r="H139" s="37" t="n"/>
    </row>
    <row r="140">
      <c r="A140" s="16" t="n">
        <v>2</v>
      </c>
      <c r="B140" s="17" t="inlineStr">
        <is>
          <t>Executive-VIP</t>
        </is>
      </c>
      <c r="C140" s="38" t="n"/>
      <c r="D140" s="37" t="n"/>
      <c r="E140" s="19" t="n"/>
      <c r="F140" s="37" t="n"/>
      <c r="G140" s="24">
        <f>IFERROR(E140/$E$147*100,"")</f>
        <v/>
      </c>
      <c r="H140" s="37" t="n"/>
    </row>
    <row r="141">
      <c r="A141" s="5" t="n">
        <v>3</v>
      </c>
      <c r="B141" s="7" t="inlineStr">
        <is>
          <t>Customer-Access</t>
        </is>
      </c>
      <c r="C141" s="38" t="n"/>
      <c r="D141" s="37" t="n"/>
      <c r="E141" s="14" t="n"/>
      <c r="F141" s="37" t="n"/>
      <c r="G141" s="23">
        <f>IFERROR(E141/$E$147*100,"")</f>
        <v/>
      </c>
      <c r="H141" s="37" t="n"/>
    </row>
    <row r="142">
      <c r="A142" s="16" t="n">
        <v>4</v>
      </c>
      <c r="B142" s="17" t="inlineStr">
        <is>
          <t>Corporate-Staff</t>
        </is>
      </c>
      <c r="C142" s="38" t="n"/>
      <c r="D142" s="37" t="n"/>
      <c r="E142" s="19" t="n"/>
      <c r="F142" s="37" t="n"/>
      <c r="G142" s="24">
        <f>IFERROR(E142/$E$147*100,"")</f>
        <v/>
      </c>
      <c r="H142" s="37" t="n"/>
    </row>
    <row r="143">
      <c r="A143" s="5" t="n">
        <v>5</v>
      </c>
      <c r="B143" s="7" t="inlineStr">
        <is>
          <t>Partner-Corporate</t>
        </is>
      </c>
      <c r="C143" s="38" t="n"/>
      <c r="D143" s="37" t="n"/>
      <c r="E143" s="14" t="n"/>
      <c r="F143" s="37" t="n"/>
      <c r="G143" s="23">
        <f>IFERROR(E143/$E$147*100,"")</f>
        <v/>
      </c>
      <c r="H143" s="37" t="n"/>
    </row>
    <row r="144">
      <c r="A144" s="16" t="n">
        <v>6</v>
      </c>
      <c r="B144" s="17" t="inlineStr">
        <is>
          <t>Guest-Access</t>
        </is>
      </c>
      <c r="C144" s="38" t="n"/>
      <c r="D144" s="37" t="n"/>
      <c r="E144" s="19" t="n"/>
      <c r="F144" s="37" t="n"/>
      <c r="G144" s="24">
        <f>IFERROR(E144/$E$147*100,"")</f>
        <v/>
      </c>
      <c r="H144" s="37" t="n"/>
    </row>
    <row r="145">
      <c r="A145" s="5" t="n">
        <v>7</v>
      </c>
      <c r="B145" s="7" t="inlineStr">
        <is>
          <t>Corporate-Mobile</t>
        </is>
      </c>
      <c r="C145" s="38" t="n"/>
      <c r="D145" s="37" t="n"/>
      <c r="E145" s="14" t="n"/>
      <c r="F145" s="37" t="n"/>
      <c r="G145" s="23">
        <f>IFERROR(E145/$E$147*100,"")</f>
        <v/>
      </c>
      <c r="H145" s="37" t="n"/>
    </row>
    <row r="146">
      <c r="A146" s="16" t="n">
        <v>8</v>
      </c>
      <c r="B146" s="17" t="inlineStr">
        <is>
          <t>Staging-Quarantine</t>
        </is>
      </c>
      <c r="C146" s="38" t="n"/>
      <c r="D146" s="37" t="n"/>
      <c r="E146" s="19" t="n"/>
      <c r="F146" s="37" t="n"/>
      <c r="G146" s="24">
        <f>IFERROR(E146/$E$147*100,"")</f>
        <v/>
      </c>
      <c r="H146" s="37" t="n"/>
    </row>
    <row r="147" ht="18" customHeight="1">
      <c r="A147" s="25" t="n"/>
      <c r="B147" s="26" t="inlineStr">
        <is>
          <t>TOTAL USERS</t>
        </is>
      </c>
      <c r="C147" s="41" t="n"/>
      <c r="D147" s="40" t="n"/>
      <c r="E147" s="29">
        <f>SUM(E139:E146)</f>
        <v/>
      </c>
      <c r="F147" s="40" t="n"/>
      <c r="G147" s="27" t="n">
        <v>100</v>
      </c>
      <c r="H147" s="40" t="n"/>
    </row>
    <row r="148" ht="16" customHeight="1">
      <c r="A148" s="20" t="inlineStr">
        <is>
          <t>SSID percentage = Connected Users / Total Users x 100%.</t>
        </is>
      </c>
      <c r="B148" s="38" t="n"/>
      <c r="C148" s="38" t="n"/>
      <c r="D148" s="38" t="n"/>
      <c r="E148" s="38" t="n"/>
      <c r="F148" s="38" t="n"/>
      <c r="G148" s="38" t="n"/>
      <c r="H148" s="37" t="n"/>
    </row>
    <row r="149"/>
    <row r="150" ht="22" customHeight="1">
      <c r="A150" s="8" t="inlineStr">
        <is>
          <t>E. 📱 Modem Orbit</t>
        </is>
      </c>
    </row>
    <row r="151" ht="24" customHeight="1">
      <c r="A151" s="12" t="inlineStr">
        <is>
          <t>No</t>
        </is>
      </c>
      <c r="B151" s="12" t="inlineStr">
        <is>
          <t>Location / Modem</t>
        </is>
      </c>
      <c r="C151" s="12" t="inlineStr">
        <is>
          <t>Package</t>
        </is>
      </c>
      <c r="D151" s="12" t="inlineStr">
        <is>
          <t>Remaining Quota (GB)</t>
        </is>
      </c>
      <c r="E151" s="12" t="inlineStr">
        <is>
          <t>Total Quota (GB)</t>
        </is>
      </c>
      <c r="F151" s="12" t="inlineStr">
        <is>
          <t>Valid Until</t>
        </is>
      </c>
      <c r="G151" s="12" t="inlineStr">
        <is>
          <t>Status</t>
        </is>
      </c>
      <c r="H151" s="37" t="n"/>
    </row>
    <row r="152">
      <c r="A152" s="5" t="n">
        <v>1</v>
      </c>
      <c r="B152" s="7" t="inlineStr">
        <is>
          <t>Modem Meeting Room Alpha</t>
        </is>
      </c>
      <c r="C152" s="7" t="inlineStr">
        <is>
          <t>Kuota</t>
        </is>
      </c>
      <c r="D152" s="21" t="n"/>
      <c r="E152" s="21" t="n"/>
      <c r="F152" s="5" t="n"/>
      <c r="G152" s="5" t="n"/>
      <c r="H152" s="37" t="n"/>
    </row>
    <row r="153">
      <c r="A153" s="16" t="n">
        <v>2</v>
      </c>
      <c r="B153" s="17" t="inlineStr">
        <is>
          <t>Modem Operations Center</t>
        </is>
      </c>
      <c r="C153" s="17" t="inlineStr">
        <is>
          <t>Kuota</t>
        </is>
      </c>
      <c r="D153" s="22" t="n"/>
      <c r="E153" s="22" t="n"/>
      <c r="F153" s="16" t="n"/>
      <c r="G153" s="16" t="n"/>
      <c r="H153" s="37" t="n"/>
    </row>
    <row r="154">
      <c r="A154" s="5" t="n">
        <v>3</v>
      </c>
      <c r="B154" s="7" t="inlineStr">
        <is>
          <t>Modem Command Post</t>
        </is>
      </c>
      <c r="C154" s="7" t="inlineStr">
        <is>
          <t>Kuota</t>
        </is>
      </c>
      <c r="D154" s="21" t="n"/>
      <c r="E154" s="21" t="n"/>
      <c r="F154" s="5" t="n"/>
      <c r="G154" s="5" t="n"/>
      <c r="H154" s="37" t="n"/>
    </row>
    <row r="155">
      <c r="A155" s="16" t="n">
        <v>4</v>
      </c>
      <c r="B155" s="17" t="inlineStr">
        <is>
          <t>Modem Conference Hall</t>
        </is>
      </c>
      <c r="C155" s="17" t="inlineStr">
        <is>
          <t>Kuota</t>
        </is>
      </c>
      <c r="D155" s="22" t="n"/>
      <c r="E155" s="22" t="n"/>
      <c r="F155" s="16" t="n"/>
      <c r="G155" s="16" t="n"/>
      <c r="H155" s="37" t="n"/>
    </row>
    <row r="156">
      <c r="A156" s="5" t="n">
        <v>5</v>
      </c>
      <c r="B156" s="7" t="inlineStr">
        <is>
          <t>Modem Executive Lounge</t>
        </is>
      </c>
      <c r="C156" s="7" t="inlineStr">
        <is>
          <t>Kuota</t>
        </is>
      </c>
      <c r="D156" s="21" t="n"/>
      <c r="E156" s="21" t="n"/>
      <c r="F156" s="5" t="n"/>
      <c r="G156" s="5" t="n"/>
      <c r="H156" s="37" t="n"/>
    </row>
    <row r="157">
      <c r="A157" s="16" t="n">
        <v>6</v>
      </c>
      <c r="B157" s="17" t="inlineStr">
        <is>
          <t>Modem Backup Pool</t>
        </is>
      </c>
      <c r="C157" s="17" t="inlineStr">
        <is>
          <t>FantaSIX</t>
        </is>
      </c>
      <c r="D157" s="22" t="n"/>
      <c r="E157" s="22" t="n"/>
      <c r="F157" s="16" t="n"/>
      <c r="G157" s="16" t="n"/>
      <c r="H157" s="37" t="n"/>
    </row>
    <row r="158">
      <c r="A158" s="5" t="n"/>
      <c r="B158" s="7" t="inlineStr"/>
      <c r="C158" s="7" t="inlineStr">
        <is>
          <t>FantaSIX</t>
        </is>
      </c>
      <c r="D158" s="21" t="n"/>
      <c r="E158" s="21" t="n"/>
      <c r="F158" s="5" t="n"/>
      <c r="G158" s="5" t="n"/>
      <c r="H158" s="37" t="n"/>
    </row>
    <row r="159">
      <c r="A159" s="16" t="n"/>
      <c r="B159" s="17" t="inlineStr"/>
      <c r="C159" s="17" t="inlineStr">
        <is>
          <t>Internet Orbit</t>
        </is>
      </c>
      <c r="D159" s="22" t="n"/>
      <c r="E159" s="22" t="n"/>
      <c r="F159" s="16" t="n"/>
      <c r="G159" s="16" t="n"/>
      <c r="H159" s="37" t="n"/>
    </row>
    <row r="160">
      <c r="A160" s="5" t="n">
        <v>7</v>
      </c>
      <c r="B160" s="7" t="inlineStr">
        <is>
          <t>Modem Customer Lounge</t>
        </is>
      </c>
      <c r="C160" s="7" t="inlineStr">
        <is>
          <t>Paket 1</t>
        </is>
      </c>
      <c r="D160" s="21" t="n"/>
      <c r="E160" s="21" t="n"/>
      <c r="F160" s="5" t="n"/>
      <c r="G160" s="5" t="n"/>
      <c r="H160" s="37" t="n"/>
    </row>
    <row r="161">
      <c r="A161" s="16" t="n"/>
      <c r="B161" s="17" t="inlineStr"/>
      <c r="C161" s="17" t="inlineStr">
        <is>
          <t>Paket 2</t>
        </is>
      </c>
      <c r="D161" s="22" t="n"/>
      <c r="E161" s="22" t="n"/>
      <c r="F161" s="16" t="n"/>
      <c r="G161" s="16" t="n"/>
      <c r="H161" s="37" t="n"/>
    </row>
    <row r="162">
      <c r="A162" s="5" t="n">
        <v>8</v>
      </c>
      <c r="B162" s="7" t="inlineStr">
        <is>
          <t>Portable MiFi Unit 01</t>
        </is>
      </c>
      <c r="C162" s="7" t="inlineStr">
        <is>
          <t>Kuota</t>
        </is>
      </c>
      <c r="D162" s="21" t="n"/>
      <c r="E162" s="21" t="n"/>
      <c r="F162" s="5" t="n"/>
      <c r="G162" s="5" t="n"/>
      <c r="H162" s="37" t="n"/>
    </row>
    <row r="163">
      <c r="A163" s="16" t="n">
        <v>9</v>
      </c>
      <c r="B163" s="17" t="inlineStr">
        <is>
          <t>Portable MiFi Unit 02</t>
        </is>
      </c>
      <c r="C163" s="17" t="inlineStr">
        <is>
          <t>Kuota</t>
        </is>
      </c>
      <c r="D163" s="22" t="n"/>
      <c r="E163" s="22" t="n"/>
      <c r="F163" s="16" t="n"/>
      <c r="G163" s="16" t="n"/>
      <c r="H163" s="37" t="n"/>
    </row>
    <row r="164" ht="18" customHeight="1">
      <c r="A164" s="25" t="n"/>
      <c r="B164" s="26" t="inlineStr">
        <is>
          <t>TOTAL QUOTA</t>
        </is>
      </c>
      <c r="C164" s="26" t="n"/>
      <c r="D164" s="30">
        <f>SUM(D152:D163)</f>
        <v/>
      </c>
      <c r="E164" s="30">
        <f>SUM(E152:E163)</f>
        <v/>
      </c>
      <c r="F164" s="25" t="n"/>
      <c r="G164" s="25" t="n"/>
      <c r="H164" s="40" t="n"/>
    </row>
    <row r="165" ht="16" customHeight="1">
      <c r="A165" s="20" t="inlineStr">
        <is>
          <t>Valid Until and Status (Active / Expired Soon / Expired) are taken manually from the Orbit application; Expired is highlighted in red.</t>
        </is>
      </c>
      <c r="B165" s="38" t="n"/>
      <c r="C165" s="38" t="n"/>
      <c r="D165" s="38" t="n"/>
      <c r="E165" s="38" t="n"/>
      <c r="F165" s="38" t="n"/>
      <c r="G165" s="38" t="n"/>
      <c r="H165" s="37" t="n"/>
    </row>
    <row r="166"/>
    <row r="167" ht="22" customHeight="1">
      <c r="A167" s="8" t="inlineStr">
        <is>
          <t>F. ⚠️ Highlights &amp; Incident Follow-up</t>
        </is>
      </c>
    </row>
    <row r="168" ht="18" customHeight="1">
      <c r="A168" s="42" t="inlineStr">
        <is>
          <t>1. Staff Engineer 1</t>
        </is>
      </c>
      <c r="B168" s="39" t="n"/>
      <c r="C168" s="39" t="n"/>
      <c r="D168" s="39" t="n"/>
      <c r="E168" s="39" t="n"/>
      <c r="F168" s="39" t="n"/>
      <c r="G168" s="39" t="n"/>
      <c r="H168" s="39" t="n"/>
    </row>
    <row r="169" ht="24" customHeight="1">
      <c r="A169" s="12" t="inlineStr">
        <is>
          <t>No</t>
        </is>
      </c>
      <c r="B169" s="12" t="inlineStr">
        <is>
          <t>Link / Item</t>
        </is>
      </c>
      <c r="C169" s="37" t="n"/>
      <c r="D169" s="12" t="inlineStr">
        <is>
          <t>Utilization (%)</t>
        </is>
      </c>
      <c r="E169" s="12" t="inlineStr">
        <is>
          <t>Next Action</t>
        </is>
      </c>
      <c r="F169" s="37" t="n"/>
      <c r="G169" s="12" t="inlineStr">
        <is>
          <t>Status</t>
        </is>
      </c>
      <c r="H169" s="37" t="n"/>
    </row>
    <row r="170">
      <c r="A170" s="5" t="n">
        <v>1</v>
      </c>
      <c r="B170" s="7" t="inlineStr">
        <is>
          <t>ASTINET Primary Branch Office Charlie</t>
        </is>
      </c>
      <c r="C170" s="37" t="n"/>
      <c r="D170" s="23" t="n"/>
      <c r="E170" s="7" t="n"/>
      <c r="F170" s="37" t="n"/>
      <c r="G170" s="5" t="n"/>
      <c r="H170" s="37" t="n"/>
    </row>
    <row r="171">
      <c r="A171" s="16" t="n">
        <v>2</v>
      </c>
      <c r="B171" s="17" t="inlineStr">
        <is>
          <t>ASTINET Primary Branch Office Delta</t>
        </is>
      </c>
      <c r="C171" s="37" t="n"/>
      <c r="D171" s="24" t="n"/>
      <c r="E171" s="17" t="n"/>
      <c r="F171" s="37" t="n"/>
      <c r="G171" s="16" t="n"/>
      <c r="H171" s="37" t="n"/>
    </row>
    <row r="172">
      <c r="A172" s="5" t="n">
        <v>3</v>
      </c>
      <c r="B172" s="7" t="inlineStr">
        <is>
          <t>Metro Backbone Core Metro Backbone Core Node Charlie</t>
        </is>
      </c>
      <c r="C172" s="37" t="n"/>
      <c r="D172" s="23" t="n"/>
      <c r="E172" s="7" t="n"/>
      <c r="F172" s="37" t="n"/>
      <c r="G172" s="5" t="n"/>
      <c r="H172" s="37" t="n"/>
    </row>
    <row r="173">
      <c r="A173" s="16" t="n">
        <v>4</v>
      </c>
      <c r="B173" s="17" t="inlineStr">
        <is>
          <t>VPN IP VPN Branch Delta</t>
        </is>
      </c>
      <c r="C173" s="37" t="n"/>
      <c r="D173" s="24" t="n"/>
      <c r="E173" s="17" t="n"/>
      <c r="F173" s="37" t="n"/>
      <c r="G173" s="16" t="n"/>
      <c r="H173" s="37" t="n"/>
    </row>
    <row r="174"/>
    <row r="175" ht="18" customHeight="1">
      <c r="A175" s="42" t="inlineStr">
        <is>
          <t>2. Staff Engineer 2</t>
        </is>
      </c>
      <c r="B175" s="39" t="n"/>
      <c r="C175" s="39" t="n"/>
      <c r="D175" s="39" t="n"/>
      <c r="E175" s="39" t="n"/>
      <c r="F175" s="39" t="n"/>
      <c r="G175" s="39" t="n"/>
      <c r="H175" s="39" t="n"/>
    </row>
    <row r="176" ht="24" customHeight="1">
      <c r="A176" s="12" t="inlineStr">
        <is>
          <t>No</t>
        </is>
      </c>
      <c r="B176" s="12" t="inlineStr">
        <is>
          <t>Device</t>
        </is>
      </c>
      <c r="C176" s="12" t="inlineStr">
        <is>
          <t>Location</t>
        </is>
      </c>
      <c r="D176" s="12" t="inlineStr">
        <is>
          <t>Impact</t>
        </is>
      </c>
      <c r="E176" s="12" t="inlineStr">
        <is>
          <t>Ticket / Reference</t>
        </is>
      </c>
      <c r="F176" s="12" t="inlineStr">
        <is>
          <t>Next Action</t>
        </is>
      </c>
      <c r="G176" s="12" t="inlineStr">
        <is>
          <t>PIC</t>
        </is>
      </c>
      <c r="H176" s="12" t="inlineStr">
        <is>
          <t>Status</t>
        </is>
      </c>
    </row>
    <row r="177">
      <c r="A177" s="5" t="n">
        <v>1</v>
      </c>
      <c r="B177" s="7" t="n"/>
      <c r="C177" s="7" t="n"/>
      <c r="D177" s="7" t="n"/>
      <c r="E177" s="5" t="n"/>
      <c r="F177" s="7" t="n"/>
      <c r="G177" s="5" t="n"/>
      <c r="H177" s="5" t="n"/>
    </row>
    <row r="178">
      <c r="A178" s="16" t="n">
        <v>2</v>
      </c>
      <c r="B178" s="17" t="n"/>
      <c r="C178" s="17" t="n"/>
      <c r="D178" s="17" t="n"/>
      <c r="E178" s="16" t="n"/>
      <c r="F178" s="17" t="n"/>
      <c r="G178" s="16" t="n"/>
      <c r="H178" s="16" t="n"/>
    </row>
    <row r="179">
      <c r="A179" s="5" t="n">
        <v>3</v>
      </c>
      <c r="B179" s="7" t="n"/>
      <c r="C179" s="7" t="n"/>
      <c r="D179" s="7" t="n"/>
      <c r="E179" s="5" t="n"/>
      <c r="F179" s="7" t="n"/>
      <c r="G179" s="5" t="n"/>
      <c r="H179" s="5" t="n"/>
    </row>
    <row r="180"/>
    <row r="181" ht="18" customHeight="1">
      <c r="A181" s="42" t="inlineStr">
        <is>
          <t>3. Staff Engineer 3&amp; Follow-up</t>
        </is>
      </c>
      <c r="B181" s="39" t="n"/>
      <c r="C181" s="39" t="n"/>
      <c r="D181" s="39" t="n"/>
      <c r="E181" s="39" t="n"/>
      <c r="F181" s="39" t="n"/>
      <c r="G181" s="39" t="n"/>
      <c r="H181" s="39" t="n"/>
    </row>
    <row r="182" ht="24" customHeight="1">
      <c r="A182" s="12" t="inlineStr">
        <is>
          <t>No</t>
        </is>
      </c>
      <c r="B182" s="12" t="inlineStr">
        <is>
          <t>Problem Description</t>
        </is>
      </c>
      <c r="C182" s="38" t="n"/>
      <c r="D182" s="37" t="n"/>
      <c r="E182" s="12" t="inlineStr">
        <is>
          <t>Next Action</t>
        </is>
      </c>
      <c r="F182" s="37" t="n"/>
      <c r="G182" s="12" t="inlineStr">
        <is>
          <t>Status</t>
        </is>
      </c>
      <c r="H182" s="37" t="n"/>
    </row>
    <row r="183" ht="26" customHeight="1">
      <c r="A183" s="5" t="n">
        <v>1</v>
      </c>
      <c r="B183" s="7" t="n"/>
      <c r="C183" s="38" t="n"/>
      <c r="D183" s="37" t="n"/>
      <c r="E183" s="7" t="n"/>
      <c r="F183" s="37" t="n"/>
      <c r="G183" s="5" t="n"/>
      <c r="H183" s="37" t="n"/>
    </row>
    <row r="184"/>
    <row r="185" ht="16" customHeight="1">
      <c r="A185" s="20" t="inlineStr">
        <is>
          <t>Note: MRTG values in Mbps; percentage = utilization against link capacity. Status: Normal / High Traffic / Fault.</t>
        </is>
      </c>
      <c r="B185" s="38" t="n"/>
      <c r="C185" s="38" t="n"/>
      <c r="D185" s="38" t="n"/>
      <c r="E185" s="38" t="n"/>
      <c r="F185" s="38" t="n"/>
      <c r="G185" s="38" t="n"/>
      <c r="H185" s="37" t="n"/>
    </row>
    <row r="186"/>
    <row r="187" ht="16" customHeight="1">
      <c r="A187" s="15" t="inlineStr">
        <is>
          <t>Normal / Online / OK</t>
        </is>
      </c>
      <c r="B187" s="37" t="n"/>
      <c r="C187" s="32" t="inlineStr">
        <is>
          <t>Warning / Monitoring</t>
        </is>
      </c>
      <c r="D187" s="37" t="n"/>
      <c r="E187" s="34" t="inlineStr">
        <is>
          <t>Critical / Fault / Expired</t>
        </is>
      </c>
      <c r="F187" s="37" t="n"/>
    </row>
    <row r="188"/>
    <row r="189">
      <c r="A189" s="36" t="inlineStr">
        <is>
          <t>Daily Report - Network Support |Template Excel | scripts/generate_template.py</t>
        </is>
      </c>
    </row>
  </sheetData>
  <mergeCells count="243">
    <mergeCell ref="B91:C91"/>
    <mergeCell ref="E145:F145"/>
    <mergeCell ref="B100:C100"/>
    <mergeCell ref="E139:F139"/>
    <mergeCell ref="A148:H148"/>
    <mergeCell ref="F18:H18"/>
    <mergeCell ref="G161:H161"/>
    <mergeCell ref="E142:F142"/>
    <mergeCell ref="B22:C22"/>
    <mergeCell ref="B93:C93"/>
    <mergeCell ref="F17:H17"/>
    <mergeCell ref="G145:H145"/>
    <mergeCell ref="C187:D187"/>
    <mergeCell ref="B102:C102"/>
    <mergeCell ref="A110:H110"/>
    <mergeCell ref="B12:C12"/>
    <mergeCell ref="G160:H160"/>
    <mergeCell ref="B86:C86"/>
    <mergeCell ref="E171:F171"/>
    <mergeCell ref="F22:H22"/>
    <mergeCell ref="F133:G133"/>
    <mergeCell ref="G147:H147"/>
    <mergeCell ref="G57:H57"/>
    <mergeCell ref="B143:D143"/>
    <mergeCell ref="B101:C101"/>
    <mergeCell ref="G128:H128"/>
    <mergeCell ref="A66:H66"/>
    <mergeCell ref="F9:H9"/>
    <mergeCell ref="G171:H171"/>
    <mergeCell ref="E173:F173"/>
    <mergeCell ref="F135:G135"/>
    <mergeCell ref="A189:H189"/>
    <mergeCell ref="B142:D142"/>
    <mergeCell ref="A3:H3"/>
    <mergeCell ref="G34:H34"/>
    <mergeCell ref="G139:H139"/>
    <mergeCell ref="G108:H108"/>
    <mergeCell ref="F134:G134"/>
    <mergeCell ref="A175:H175"/>
    <mergeCell ref="G114:H114"/>
    <mergeCell ref="B144:D144"/>
    <mergeCell ref="A150:H150"/>
    <mergeCell ref="G163:H163"/>
    <mergeCell ref="B24:C24"/>
    <mergeCell ref="G113:H113"/>
    <mergeCell ref="G91:H91"/>
    <mergeCell ref="A29:H29"/>
    <mergeCell ref="G85:H85"/>
    <mergeCell ref="G100:H100"/>
    <mergeCell ref="B104:C104"/>
    <mergeCell ref="A96:H96"/>
    <mergeCell ref="G94:H94"/>
    <mergeCell ref="G143:H143"/>
    <mergeCell ref="E183:F183"/>
    <mergeCell ref="G183:H183"/>
    <mergeCell ref="A13:H13"/>
    <mergeCell ref="E146:F146"/>
    <mergeCell ref="G44:H44"/>
    <mergeCell ref="F12:H12"/>
    <mergeCell ref="B26:C26"/>
    <mergeCell ref="G102:H102"/>
    <mergeCell ref="B106:C106"/>
    <mergeCell ref="G158:H158"/>
    <mergeCell ref="A40:H40"/>
    <mergeCell ref="A67:H67"/>
    <mergeCell ref="B16:C16"/>
    <mergeCell ref="B25:C25"/>
    <mergeCell ref="G86:H86"/>
    <mergeCell ref="B90:C90"/>
    <mergeCell ref="D119:H119"/>
    <mergeCell ref="G169:H169"/>
    <mergeCell ref="G151:H151"/>
    <mergeCell ref="G61:H61"/>
    <mergeCell ref="B147:D147"/>
    <mergeCell ref="B18:C18"/>
    <mergeCell ref="B27:C27"/>
    <mergeCell ref="A123:H123"/>
    <mergeCell ref="C4:D4"/>
    <mergeCell ref="A124:H124"/>
    <mergeCell ref="G125:H125"/>
    <mergeCell ref="A7:H7"/>
    <mergeCell ref="B11:C11"/>
    <mergeCell ref="G38:H38"/>
    <mergeCell ref="B146:D146"/>
    <mergeCell ref="F27:H27"/>
    <mergeCell ref="E147:F147"/>
    <mergeCell ref="E170:F170"/>
    <mergeCell ref="D120:H120"/>
    <mergeCell ref="G62:H62"/>
    <mergeCell ref="B139:D139"/>
    <mergeCell ref="A84:H84"/>
    <mergeCell ref="G127:H127"/>
    <mergeCell ref="G162:H162"/>
    <mergeCell ref="B119:C119"/>
    <mergeCell ref="G49:H49"/>
    <mergeCell ref="B103:C103"/>
    <mergeCell ref="G33:H33"/>
    <mergeCell ref="G104:H104"/>
    <mergeCell ref="B118:C118"/>
    <mergeCell ref="G88:H88"/>
    <mergeCell ref="F11:H11"/>
    <mergeCell ref="G154:H154"/>
    <mergeCell ref="F25:H25"/>
    <mergeCell ref="G35:H35"/>
    <mergeCell ref="B141:D141"/>
    <mergeCell ref="E172:F172"/>
    <mergeCell ref="B15:C15"/>
    <mergeCell ref="E187:F187"/>
    <mergeCell ref="G138:H138"/>
    <mergeCell ref="B80:C80"/>
    <mergeCell ref="B95:C95"/>
    <mergeCell ref="G90:H90"/>
    <mergeCell ref="B89:C89"/>
    <mergeCell ref="A112:H112"/>
    <mergeCell ref="G99:H99"/>
    <mergeCell ref="B169:C169"/>
    <mergeCell ref="G60:H60"/>
    <mergeCell ref="B79:C79"/>
    <mergeCell ref="F15:H15"/>
    <mergeCell ref="G140:H140"/>
    <mergeCell ref="F24:H24"/>
    <mergeCell ref="A167:H167"/>
    <mergeCell ref="A48:H48"/>
    <mergeCell ref="A30:H30"/>
    <mergeCell ref="A59:H59"/>
    <mergeCell ref="B145:D145"/>
    <mergeCell ref="G155:H155"/>
    <mergeCell ref="F79:H79"/>
    <mergeCell ref="G42:H42"/>
    <mergeCell ref="A64:H64"/>
    <mergeCell ref="B81:C81"/>
    <mergeCell ref="B121:C121"/>
    <mergeCell ref="A98:H98"/>
    <mergeCell ref="F26:H26"/>
    <mergeCell ref="E141:F141"/>
    <mergeCell ref="B105:C105"/>
    <mergeCell ref="G126:H126"/>
    <mergeCell ref="C128:D128"/>
    <mergeCell ref="G157:H157"/>
    <mergeCell ref="F23:H23"/>
    <mergeCell ref="F81:H81"/>
    <mergeCell ref="G101:H101"/>
    <mergeCell ref="B120:C120"/>
    <mergeCell ref="G141:H141"/>
    <mergeCell ref="E143:F143"/>
    <mergeCell ref="G172:H172"/>
    <mergeCell ref="A137:H137"/>
    <mergeCell ref="G103:H103"/>
    <mergeCell ref="G37:H37"/>
    <mergeCell ref="B107:C107"/>
    <mergeCell ref="B183:D183"/>
    <mergeCell ref="C127:D127"/>
    <mergeCell ref="B17:C17"/>
    <mergeCell ref="B88:C88"/>
    <mergeCell ref="B170:C170"/>
    <mergeCell ref="B82:C82"/>
    <mergeCell ref="G87:H87"/>
    <mergeCell ref="G152:H152"/>
    <mergeCell ref="B171:C171"/>
    <mergeCell ref="F82:H82"/>
    <mergeCell ref="B19:C19"/>
    <mergeCell ref="A129:H129"/>
    <mergeCell ref="B172:C172"/>
    <mergeCell ref="G142:H142"/>
    <mergeCell ref="A5:B5"/>
    <mergeCell ref="G95:H95"/>
    <mergeCell ref="A76:H76"/>
    <mergeCell ref="B99:C99"/>
    <mergeCell ref="G89:H89"/>
    <mergeCell ref="B108:C108"/>
    <mergeCell ref="B138:D138"/>
    <mergeCell ref="B9:C9"/>
    <mergeCell ref="A8:H8"/>
    <mergeCell ref="E144:F144"/>
    <mergeCell ref="A4:B4"/>
    <mergeCell ref="B92:C92"/>
    <mergeCell ref="F16:H16"/>
    <mergeCell ref="G51:H51"/>
    <mergeCell ref="D121:H121"/>
    <mergeCell ref="C125:D125"/>
    <mergeCell ref="A131:H131"/>
    <mergeCell ref="G144:H144"/>
    <mergeCell ref="G153:H153"/>
    <mergeCell ref="G54:H54"/>
    <mergeCell ref="B140:D140"/>
    <mergeCell ref="C5:H5"/>
    <mergeCell ref="B20:C20"/>
    <mergeCell ref="G32:H32"/>
    <mergeCell ref="G41:H41"/>
    <mergeCell ref="A115:H115"/>
    <mergeCell ref="B85:C85"/>
    <mergeCell ref="G50:H50"/>
    <mergeCell ref="G106:H106"/>
    <mergeCell ref="B94:C94"/>
    <mergeCell ref="G164:H164"/>
    <mergeCell ref="A117:H117"/>
    <mergeCell ref="G173:H173"/>
    <mergeCell ref="B173:C173"/>
    <mergeCell ref="G56:H56"/>
    <mergeCell ref="F20:H20"/>
    <mergeCell ref="G105:H105"/>
    <mergeCell ref="B109:C109"/>
    <mergeCell ref="G43:H43"/>
    <mergeCell ref="F80:H80"/>
    <mergeCell ref="G52:H52"/>
    <mergeCell ref="G36:H36"/>
    <mergeCell ref="G107:H107"/>
    <mergeCell ref="C126:D126"/>
    <mergeCell ref="B182:D182"/>
    <mergeCell ref="A168:H168"/>
    <mergeCell ref="E140:F140"/>
    <mergeCell ref="G170:H170"/>
    <mergeCell ref="A78:H78"/>
    <mergeCell ref="A187:B187"/>
    <mergeCell ref="G156:H156"/>
    <mergeCell ref="E138:F138"/>
    <mergeCell ref="B23:C23"/>
    <mergeCell ref="G53:H53"/>
    <mergeCell ref="G146:H146"/>
    <mergeCell ref="G93:H93"/>
    <mergeCell ref="E182:F182"/>
    <mergeCell ref="B87:C87"/>
    <mergeCell ref="A21:H21"/>
    <mergeCell ref="G92:H92"/>
    <mergeCell ref="B10:C10"/>
    <mergeCell ref="A14:H14"/>
    <mergeCell ref="G45:H45"/>
    <mergeCell ref="E169:F169"/>
    <mergeCell ref="A185:H185"/>
    <mergeCell ref="D118:H118"/>
    <mergeCell ref="A181:H181"/>
    <mergeCell ref="G55:H55"/>
    <mergeCell ref="F10:H10"/>
    <mergeCell ref="G182:H182"/>
    <mergeCell ref="F19:H19"/>
    <mergeCell ref="G109:H109"/>
    <mergeCell ref="B114:C114"/>
    <mergeCell ref="A165:H165"/>
    <mergeCell ref="G31:H31"/>
    <mergeCell ref="G46:H46"/>
    <mergeCell ref="G159:H159"/>
    <mergeCell ref="F132:G132"/>
    <mergeCell ref="B113:C113"/>
  </mergeCells>
  <pageMargins left="0.4" right="0.4" top="0.5" bottom="0.5" header="0.5" footer="0.5"/>
  <pageSetup orientation="landscape" fitToHeight="0" fitToWidth="1"/>
  <headerFooter>
    <oddHeader/>
    <oddFooter>&amp;LTemplate-Daily-Report&amp;RPage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2026-10-12T06:36:38Z</dcterms:created>
  <dcterms:modified xmlns:dcterms="http://purl.org/dc/terms/" xmlns:xsi="http://www.w3.org/2001/XMLSchema-instance" xsi:type="dcterms:W3CDTF">2026-10-12T07:30:13Z</dcterms:modified>
</cp:coreProperties>
</file>